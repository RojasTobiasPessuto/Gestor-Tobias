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ms-excel.slicerCache+xml" PartName="/xl/slicerCaches/slicerCache1.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ENTA" sheetId="1" r:id="rId5"/>
    <sheet state="visible" name="INGRESOS" sheetId="2" r:id="rId6"/>
    <sheet state="visible" name="GASTOS" sheetId="3" r:id="rId7"/>
    <sheet state="visible" name="TRANSFERENCIA" sheetId="4" r:id="rId8"/>
    <sheet state="visible" name="VENTA DE DOLARES" sheetId="5" r:id="rId9"/>
    <sheet state="visible" name="COMPRA DE DOLARES" sheetId="6" r:id="rId10"/>
    <sheet state="visible" name="Hoja 4" sheetId="7" r:id="rId11"/>
  </sheets>
  <definedNames>
    <definedName hidden="1" localSheetId="6" name="Z_F6978B41_70FC_47A5_8945_0F2E9245193A_.wvu.FilterData">'Hoja 4'!$H$1:$J$1000</definedName>
    <definedName hidden="1" localSheetId="6" name="Z_F6978B41_70FC_47A5_8945_0F2E9245193A_.wvu.FilterData">'Hoja 4'!$H$1:$J$1000</definedName>
    <definedName name="SlicerCache_Table_9_Col_1">#N/A</definedName>
  </definedNames>
  <calcPr/>
  <customWorkbookViews>
    <customWorkbookView activeSheetId="0" maximized="1" windowHeight="0" windowWidth="0" guid="{F6978B41-70FC-47A5-8945-0F2E9245193A}" name="Filtro 1"/>
  </customWorkbookViews>
  <pivotCaches>
    <pivotCache cacheId="0" r:id="rId12"/>
    <pivotCache cacheId="1" r:id="rId13"/>
  </pivotCaches>
  <extLst>
    <ext uri="{46BE6895-7355-4a93-B00E-2C351335B9C9}">
      <x15:slicerCaches>
        <x14:slicerCache r:id="rId14"/>
      </x15:slicerCaches>
    </ext>
  </extLst>
</workbook>
</file>

<file path=xl/sharedStrings.xml><?xml version="1.0" encoding="utf-8"?>
<sst xmlns="http://schemas.openxmlformats.org/spreadsheetml/2006/main" count="2587" uniqueCount="667">
  <si>
    <t xml:space="preserve"> </t>
  </si>
  <si>
    <t>CANTIDAD</t>
  </si>
  <si>
    <t>USD a ARS</t>
  </si>
  <si>
    <t>Dólar Blue en Córdoba</t>
  </si>
  <si>
    <t>Debo</t>
  </si>
  <si>
    <t>Descripcion
Pagado hasta el momento.</t>
  </si>
  <si>
    <t>Me Deben</t>
  </si>
  <si>
    <t>Descripcion</t>
  </si>
  <si>
    <t>MES</t>
  </si>
  <si>
    <t>PAGOS</t>
  </si>
  <si>
    <t>DEUDA DE GASTON - CAMARA SONY</t>
  </si>
  <si>
    <t>TOTAL DEUDA</t>
  </si>
  <si>
    <t>Entrega de Dinero de Trabajo en MX</t>
  </si>
  <si>
    <t>GASTOS EN MEXICO</t>
  </si>
  <si>
    <t>GASTOS DE JULI</t>
  </si>
  <si>
    <t>ARS VIRTUAL</t>
  </si>
  <si>
    <t>Compra</t>
  </si>
  <si>
    <t>Venta</t>
  </si>
  <si>
    <t>Pesos</t>
  </si>
  <si>
    <t>USD</t>
  </si>
  <si>
    <t>Pesos - HOY</t>
  </si>
  <si>
    <t>Precio x Hora</t>
  </si>
  <si>
    <t>Tarifa dolar</t>
  </si>
  <si>
    <t>TRABAJOS</t>
  </si>
  <si>
    <t>$ MX</t>
  </si>
  <si>
    <t>$ ARG</t>
  </si>
  <si>
    <t>ARS BILLETERA</t>
  </si>
  <si>
    <t>Abuela PC</t>
  </si>
  <si>
    <t>Soporte Lara</t>
  </si>
  <si>
    <t>FEBRERO</t>
  </si>
  <si>
    <t>Minutos</t>
  </si>
  <si>
    <t>USDT</t>
  </si>
  <si>
    <t>Dolar en MX</t>
  </si>
  <si>
    <t>Primera Entrega</t>
  </si>
  <si>
    <t>Ropa de Zara
(Dos Remeras y un Lompa)</t>
  </si>
  <si>
    <t>USD VIRTUAL</t>
  </si>
  <si>
    <t>PROMEDIO</t>
  </si>
  <si>
    <t>Regalo Mama 6/10</t>
  </si>
  <si>
    <t>100
100
405</t>
  </si>
  <si>
    <t>Notion
Soporte Arbiflow
Horas Trabajadas</t>
  </si>
  <si>
    <t>ABRIL</t>
  </si>
  <si>
    <t>Total</t>
  </si>
  <si>
    <t>Gast - XV ORDOÑEZ 26/07/2025</t>
  </si>
  <si>
    <t>Entrega para ir a los tiangis</t>
  </si>
  <si>
    <t>Calentador</t>
  </si>
  <si>
    <t>Facturas</t>
  </si>
  <si>
    <t>USD FISICO</t>
  </si>
  <si>
    <t>Prestamo a Julian</t>
  </si>
  <si>
    <t>JULIO</t>
  </si>
  <si>
    <t>Gast - XV 16/08/2025</t>
  </si>
  <si>
    <t>Pago restande de las Zapas ()</t>
  </si>
  <si>
    <t>Termo Patagonia</t>
  </si>
  <si>
    <t>Salida con la Wacha</t>
  </si>
  <si>
    <t xml:space="preserve">ME DEBEN </t>
  </si>
  <si>
    <t>Gast - Sesion Promo 15/08/2025</t>
  </si>
  <si>
    <t>Pago de Grabacion de Video</t>
  </si>
  <si>
    <t>Factura</t>
  </si>
  <si>
    <t>CROISSANT DE JAMON Y QUESO</t>
  </si>
  <si>
    <t>Gast - Sesion Chiara Amigas 24/08/2025</t>
  </si>
  <si>
    <t>Salida a Discoteca</t>
  </si>
  <si>
    <t>Paracetamol</t>
  </si>
  <si>
    <t>Gast - XV Fiorela 6/8/2025</t>
  </si>
  <si>
    <t>Enchufes</t>
  </si>
  <si>
    <t>Helado</t>
  </si>
  <si>
    <t>TOTAL</t>
  </si>
  <si>
    <t>REAL</t>
  </si>
  <si>
    <t>Gast - XV Fiorela  6/8/2025 + Nafta</t>
  </si>
  <si>
    <t>Creatina</t>
  </si>
  <si>
    <t>DOLARES</t>
  </si>
  <si>
    <t>Gast - Sesion Berenise 14/09/2025</t>
  </si>
  <si>
    <t>Tapones de Oidos</t>
  </si>
  <si>
    <t>PESOS</t>
  </si>
  <si>
    <t>Gast - Sesion con Marce 27/09/2025</t>
  </si>
  <si>
    <t>Uber</t>
  </si>
  <si>
    <t>Gast - XV "Nombre" 6/10/2025</t>
  </si>
  <si>
    <t>lavado de Ropa</t>
  </si>
  <si>
    <t>TOTAL EN DOLARES</t>
  </si>
  <si>
    <t>2500 de regalo
Gorra, Medias, Zapatillas</t>
  </si>
  <si>
    <t>3 Remera Deportiva + 1 Pantalon</t>
  </si>
  <si>
    <t>TOTAL EN PESOS</t>
  </si>
  <si>
    <t>2 Pantalones Depo</t>
  </si>
  <si>
    <t>Perfume</t>
  </si>
  <si>
    <t>Baño</t>
  </si>
  <si>
    <t>Muñeco FuncoPOP</t>
  </si>
  <si>
    <t>Lo que puedo
vender o quedarme</t>
  </si>
  <si>
    <t>Desodorante</t>
  </si>
  <si>
    <t>DEUDA</t>
  </si>
  <si>
    <t>Total USDT Pagado</t>
  </si>
  <si>
    <t>70 Uber a Rafa
220 Uber a Pasta Juana</t>
  </si>
  <si>
    <t>Cosas a Pagar en Este MES</t>
  </si>
  <si>
    <t>Descripcion
Tengo que Pagar</t>
  </si>
  <si>
    <t>Vendido x Uso</t>
  </si>
  <si>
    <t>Coso para la Laptop</t>
  </si>
  <si>
    <t>Regalo Mama 7/10</t>
  </si>
  <si>
    <t>Luchas con la Wacha</t>
  </si>
  <si>
    <t>Teclado</t>
  </si>
  <si>
    <t>NOSE JAJA</t>
  </si>
  <si>
    <t>Pasaje Tobias</t>
  </si>
  <si>
    <t>Hielo</t>
  </si>
  <si>
    <t>Pasaje Julian</t>
  </si>
  <si>
    <t>Conos de Dulce de Leche</t>
  </si>
  <si>
    <t>Internet</t>
  </si>
  <si>
    <t>Luz</t>
  </si>
  <si>
    <t>Salida de Fiesta con Dana</t>
  </si>
  <si>
    <t>gas</t>
  </si>
  <si>
    <t>patente</t>
  </si>
  <si>
    <t>personal</t>
  </si>
  <si>
    <t>Vendido</t>
  </si>
  <si>
    <t>No vendido</t>
  </si>
  <si>
    <t>FALTANTE</t>
  </si>
  <si>
    <t>TOTALES</t>
  </si>
  <si>
    <t>BILLETERA SIN DEUDA</t>
  </si>
  <si>
    <t>MX</t>
  </si>
  <si>
    <t>Gasto MX (JULI)</t>
  </si>
  <si>
    <t>Lo que tengo</t>
  </si>
  <si>
    <t>Lo que Falta del Pago =</t>
  </si>
  <si>
    <t>CUENTAS</t>
  </si>
  <si>
    <t>CATEGORIA</t>
  </si>
  <si>
    <t>COMENTARIO</t>
  </si>
  <si>
    <t>FECHA DE CREACION</t>
  </si>
  <si>
    <t xml:space="preserve">AHORROS </t>
  </si>
  <si>
    <t>REGALO</t>
  </si>
  <si>
    <t>REGALO DE MAMA PARA ALQUILER</t>
  </si>
  <si>
    <t>SALARIO</t>
  </si>
  <si>
    <t xml:space="preserve">PAGO DE MONEYLAB </t>
  </si>
  <si>
    <t>NOSE</t>
  </si>
  <si>
    <t>CREO QUE EL PROGRESAR</t>
  </si>
  <si>
    <t>asdasd</t>
  </si>
  <si>
    <t>VIDEO</t>
  </si>
  <si>
    <t>Evento de Ale Barrera. Cumple de Juli</t>
  </si>
  <si>
    <t>NARANJA</t>
  </si>
  <si>
    <t xml:space="preserve">Filmacion de PROMOCION </t>
  </si>
  <si>
    <t>EDICION</t>
  </si>
  <si>
    <t>2da edicion de Video de Juli XV</t>
  </si>
  <si>
    <t>1ra edicion de Video de Juli XV</t>
  </si>
  <si>
    <t>PROGRESAR</t>
  </si>
  <si>
    <t>Creo que progresar o UNT</t>
  </si>
  <si>
    <t>Filmacion de XV</t>
  </si>
  <si>
    <t>100 Notion
50 Soporte Lara
450 Pagina Lara</t>
  </si>
  <si>
    <t>Mama, para la Comida</t>
  </si>
  <si>
    <t>Me Debe</t>
  </si>
  <si>
    <t>Eli de supermercado Dino</t>
  </si>
  <si>
    <t>1_ VideoEntrada</t>
  </si>
  <si>
    <t>Video Largo Luna</t>
  </si>
  <si>
    <t>XV DE LUNA (ALE)</t>
  </si>
  <si>
    <t>VIDEO, EDICION</t>
  </si>
  <si>
    <t>3_AperturaFiesta</t>
  </si>
  <si>
    <t>XV  (ALE)</t>
  </si>
  <si>
    <t>XV (DARIO)</t>
  </si>
  <si>
    <t>Video Largo Delfi</t>
  </si>
  <si>
    <t>2_VideoAmigas</t>
  </si>
  <si>
    <t>Fiesta Alma</t>
  </si>
  <si>
    <t>Video Corto ALMA</t>
  </si>
  <si>
    <t>Agencia</t>
  </si>
  <si>
    <t>Otro Video de ALMA</t>
  </si>
  <si>
    <t>FOTOS</t>
  </si>
  <si>
    <t>1er Pago: Fotos Evento</t>
  </si>
  <si>
    <t>De los 3000 que me presto mama para comprar el pasaje</t>
  </si>
  <si>
    <t>Agencia : 1er = Factible</t>
  </si>
  <si>
    <t>Mama para el Alquiler</t>
  </si>
  <si>
    <t>2do Pago: Fotos Evento</t>
  </si>
  <si>
    <t>3 pagos de Progresar</t>
  </si>
  <si>
    <t>100 - Trabajas de Factible (5hs)
200 - Segunda Cuota de Factible
200 - Soporte de Factible (1) - 6,5hs</t>
  </si>
  <si>
    <t>MAMA</t>
  </si>
  <si>
    <t>-</t>
  </si>
  <si>
    <t xml:space="preserve">Solange De salsa </t>
  </si>
  <si>
    <t>XV GAST ORDOÑEZ
No me lo Pago
Lo saque de los 600 USD que le debo
Vendi 53.58USD</t>
  </si>
  <si>
    <t>VIDEO DARIO
23 DE MAYO 2026
1/2 (50mil)</t>
  </si>
  <si>
    <t>Lo saque de mi USD</t>
  </si>
  <si>
    <t>XV Gast - Fiorela
No me lo Pago
Lo saque de los 600 USD que le debo
Precio del dolar $$1,379.50
Son  = 50.74</t>
  </si>
  <si>
    <t>Sesion Promo
No me lo Pago
Lo saque de los 600 USD que le debo
Precio del dolar $1,309.50
Son  = 22.91</t>
  </si>
  <si>
    <t>XV GAST 
No me lo Pago
Lo saque de los 600 USD que le debo
Precio del dolar $1,309.50
Son  = 53.455</t>
  </si>
  <si>
    <t>Sesion Chiara Amigas
No me lo Pago
Lo saque de los 600 USD que le debo
Precio del dolar $1,362.58
Son: 22.02</t>
  </si>
  <si>
    <t>Sesion Benerise Amigas
No me lo Pago
Lo saque de los 600 USD que le debo
Precio del dolar $1,471.13
Son: $21.43</t>
  </si>
  <si>
    <t>mama para la pelu</t>
  </si>
  <si>
    <t>Sesion Agos Amigas -Soledad</t>
  </si>
  <si>
    <t>1/2 Pago de TQ - CRM</t>
  </si>
  <si>
    <t>VIDEO DARIO
23 DE MAYO 2026
2/2 (40mil)</t>
  </si>
  <si>
    <t>"Automatizaciones de NextLevel
1/2 pago"</t>
  </si>
  <si>
    <t>Sesion con MARCE
No me Pago
Lo saque de los 600 usd
Precio del dolar 1483
Son $23.6 usd</t>
  </si>
  <si>
    <t>2/2 Pago de TQ - CRM</t>
  </si>
  <si>
    <t>a</t>
  </si>
  <si>
    <t>XV Gast - Video
No me lo Pago
Lo saque de los 600 USD que le debo
Precio del dolar $1427.5
Son  = 49.036</t>
  </si>
  <si>
    <t>FOTOS, VIDEO</t>
  </si>
  <si>
    <t>XV Gast - Sesion Promo</t>
  </si>
  <si>
    <t>10hs Soporte TQ</t>
  </si>
  <si>
    <t>Entro de Uber - 9200</t>
  </si>
  <si>
    <t>Gast - Odontologa 1/2</t>
  </si>
  <si>
    <t>Me lo encontre</t>
  </si>
  <si>
    <t>Plata que me Consiguio Juli por ayuda</t>
  </si>
  <si>
    <t>Gast - Sesion Carrilobo 11/11/2025
Pago = 100k (40 fueron Nafta)</t>
  </si>
  <si>
    <t>Gast - Boda Zorros 15/11/2025
Pago = 100k (20 fueron Nafta)</t>
  </si>
  <si>
    <t>Gast - Odontologa 2/2</t>
  </si>
  <si>
    <t>Plata que me debia sol</t>
  </si>
  <si>
    <t>Gast - Sesion Promo</t>
  </si>
  <si>
    <t>Gast - Casamiento - 01/11/2025</t>
  </si>
  <si>
    <t xml:space="preserve">Sole - Sesion amigas de Tizi </t>
  </si>
  <si>
    <t>EDICION, VIDEO</t>
  </si>
  <si>
    <t>AleTernengo</t>
  </si>
  <si>
    <t>Gast - Boda Meli y Enzo</t>
  </si>
  <si>
    <t>Ahorro de nafta - Carrilobo</t>
  </si>
  <si>
    <t>Gast - Boda Bellville 06/12/2025
Pago = 100k (20 fueron Nafta)</t>
  </si>
  <si>
    <t>Gast - Sesion Amigas (MAMA JESSICA)
8000 DEMAS</t>
  </si>
  <si>
    <t>Pago de NextLevel (25usd Deuda)
+ 55usd demas de parte de juli</t>
  </si>
  <si>
    <t xml:space="preserve">Gast - Sesion Caro </t>
  </si>
  <si>
    <t>VIDEO DARIO
16 DE MAYO 2026
1/2 (50mil)</t>
  </si>
  <si>
    <t>XV Gast - Marti</t>
  </si>
  <si>
    <t>VIDEO DARIO
16 DE MAYO 2026
2/2 (50mil)</t>
  </si>
  <si>
    <t>Ale Ternengo - Mili XV</t>
  </si>
  <si>
    <t>Promo Alto Alegre</t>
  </si>
  <si>
    <t>Soberante de plata para alto alegre</t>
  </si>
  <si>
    <t xml:space="preserve">Sesion Isla Verde </t>
  </si>
  <si>
    <t>Faltante de Pasaje Santy</t>
  </si>
  <si>
    <t>Gast - Sesion Boda</t>
  </si>
  <si>
    <t>Gast - Entrega de Diplomas</t>
  </si>
  <si>
    <t>Gast - Promo IslaVerde Fiesta</t>
  </si>
  <si>
    <t>Landing de Facu</t>
  </si>
  <si>
    <t>AleBarrera - PROMO</t>
  </si>
  <si>
    <t>FOTOS, VIDEO, Me Debe</t>
  </si>
  <si>
    <t>Pago de lo que faltaba de Gaston
Evento del 10-12-13 de Diciembre</t>
  </si>
  <si>
    <t>Gast - Sesion Boda (Carlos y Griselda)</t>
  </si>
  <si>
    <t xml:space="preserve">Tranning Gym - Primera Quincena </t>
  </si>
  <si>
    <t>AleBarrera - PROMO
Pago de Edicion</t>
  </si>
  <si>
    <t>Pago de Codigo de Landing BioHackin</t>
  </si>
  <si>
    <t>VENTA</t>
  </si>
  <si>
    <t>Celular Samsung</t>
  </si>
  <si>
    <t>.</t>
  </si>
  <si>
    <t>Gast - Sesion Marce</t>
  </si>
  <si>
    <t>Solead - XV Bianca</t>
  </si>
  <si>
    <t xml:space="preserve">Tranning Gym - Segunda Quincena </t>
  </si>
  <si>
    <t>Tranning Gym - Febrero</t>
  </si>
  <si>
    <t>Gast - XV Guille</t>
  </si>
  <si>
    <t>Vendi 3.19 USD</t>
  </si>
  <si>
    <t>Pago de Factura de Feli</t>
  </si>
  <si>
    <t>Mama</t>
  </si>
  <si>
    <t>Devolucion de Gita Perdida de  Bau</t>
  </si>
  <si>
    <t>Deuda de Juli (Mexico)</t>
  </si>
  <si>
    <t>Pago de Mexico</t>
  </si>
  <si>
    <t>Deuda de Juli (Mexico) que faltaba</t>
  </si>
  <si>
    <t>Deuda de Sol</t>
  </si>
  <si>
    <t>Devolucion de Bau</t>
  </si>
  <si>
    <t>Pago 11 Dias de Febrero
Roberto Ruarte</t>
  </si>
  <si>
    <t>Pago de Marzo
Roberto Reports</t>
  </si>
  <si>
    <t>Devolucion de Bau (2da Parte)
Equivale a 40 usd</t>
  </si>
  <si>
    <t>ALQUILER</t>
  </si>
  <si>
    <t>INTERNET</t>
  </si>
  <si>
    <t>PELUQUERIA</t>
  </si>
  <si>
    <t>ROPA</t>
  </si>
  <si>
    <t>2do pago de Ojotas. de 8500
Lo otro es de mi hno</t>
  </si>
  <si>
    <t>GYM</t>
  </si>
  <si>
    <t>gym</t>
  </si>
  <si>
    <t>ALIMENTACION</t>
  </si>
  <si>
    <t>Tarta</t>
  </si>
  <si>
    <t xml:space="preserve">Jugos </t>
  </si>
  <si>
    <t>Pizza</t>
  </si>
  <si>
    <t>Compra de Remera</t>
  </si>
  <si>
    <t>Medialuna</t>
  </si>
  <si>
    <t>Verduras y Frutas</t>
  </si>
  <si>
    <t>Cafe en la Uni</t>
  </si>
  <si>
    <t>Bizcochos</t>
  </si>
  <si>
    <t>ARREGLOS</t>
  </si>
  <si>
    <t>Pago de transporte para llevar la moto a Villa Maria</t>
  </si>
  <si>
    <t>Choclo</t>
  </si>
  <si>
    <t>Tapa de Tarta</t>
  </si>
  <si>
    <t>Cosas Necesarias</t>
  </si>
  <si>
    <t>Curitas</t>
  </si>
  <si>
    <t>Muchas Cosas Perdi la cuenta</t>
  </si>
  <si>
    <t>Arreglo de la Moto</t>
  </si>
  <si>
    <t>No lo estuve Controlando</t>
  </si>
  <si>
    <t>BOLUDECES</t>
  </si>
  <si>
    <t>Gastos en Villa Maria</t>
  </si>
  <si>
    <t>Nose de donde salio</t>
  </si>
  <si>
    <t>UNI</t>
  </si>
  <si>
    <t>Estacionamiento de Uni</t>
  </si>
  <si>
    <t>NAFTA</t>
  </si>
  <si>
    <t>Pago de Claro</t>
  </si>
  <si>
    <t>Frutaaa</t>
  </si>
  <si>
    <t>PAN</t>
  </si>
  <si>
    <t>Salida con AYE</t>
  </si>
  <si>
    <t>milas</t>
  </si>
  <si>
    <t xml:space="preserve">Bizcochos </t>
  </si>
  <si>
    <t>noshe</t>
  </si>
  <si>
    <t>Huevos</t>
  </si>
  <si>
    <t>Milanesa</t>
  </si>
  <si>
    <t>Bombas de Crema</t>
  </si>
  <si>
    <t>Salchichas</t>
  </si>
  <si>
    <t>Verduras y Frutas + Otras cosas</t>
  </si>
  <si>
    <t>Panaderia</t>
  </si>
  <si>
    <t xml:space="preserve">Regalo </t>
  </si>
  <si>
    <t>Empanadas</t>
  </si>
  <si>
    <t>Cafe y medialuna</t>
  </si>
  <si>
    <t>TRANSPORTE</t>
  </si>
  <si>
    <t>Estacionamiento en XV</t>
  </si>
  <si>
    <t>Milanesas</t>
  </si>
  <si>
    <t>Entrada de Tiago</t>
  </si>
  <si>
    <t>Fiambre</t>
  </si>
  <si>
    <t>VGA A DISPLAY (CONECTOR)</t>
  </si>
  <si>
    <t xml:space="preserve">Milaneses </t>
  </si>
  <si>
    <t>GASTOS DE LA CASA</t>
  </si>
  <si>
    <t>2 Enchufes</t>
  </si>
  <si>
    <t xml:space="preserve">Traba y Orrin </t>
  </si>
  <si>
    <t>Goma de Canilla</t>
  </si>
  <si>
    <t>Espejos y Corte de Cadena de la Moto</t>
  </si>
  <si>
    <t>Estacionamiento</t>
  </si>
  <si>
    <t xml:space="preserve">Pan para Hamburguesas </t>
  </si>
  <si>
    <t>Verduras</t>
  </si>
  <si>
    <t>Gotita y Film</t>
  </si>
  <si>
    <t>Moto, Contrarosca para el Espejo</t>
  </si>
  <si>
    <t>Medialunas Uni</t>
  </si>
  <si>
    <t>Pan y Una Medialuna</t>
  </si>
  <si>
    <t>Tapon y teflon</t>
  </si>
  <si>
    <t>Uber a Terminal</t>
  </si>
  <si>
    <t>2 Pebetes</t>
  </si>
  <si>
    <t>Cafe</t>
  </si>
  <si>
    <t>TARJETA</t>
  </si>
  <si>
    <t>Pago de Tarjeta: Cama 7 Cuota y Spoty</t>
  </si>
  <si>
    <t>Estacionamieto</t>
  </si>
  <si>
    <t>UBER</t>
  </si>
  <si>
    <t>Fotocopia</t>
  </si>
  <si>
    <t>Bizcochos y Facturas</t>
  </si>
  <si>
    <t>MOTO</t>
  </si>
  <si>
    <t>Corte de Cadena</t>
  </si>
  <si>
    <t>LIMPIEZA</t>
  </si>
  <si>
    <t>Productos para la casa</t>
  </si>
  <si>
    <t xml:space="preserve">Fotocopias </t>
  </si>
  <si>
    <t xml:space="preserve">Milas </t>
  </si>
  <si>
    <t>Encendedor</t>
  </si>
  <si>
    <t>Cine con sol "Destino Final"</t>
  </si>
  <si>
    <t>Pegamento para zapatillas</t>
  </si>
  <si>
    <t>pan</t>
  </si>
  <si>
    <t>huevo</t>
  </si>
  <si>
    <t>tafirol</t>
  </si>
  <si>
    <t>Fotocopiadora</t>
  </si>
  <si>
    <t>Estacionamiento casa ali</t>
  </si>
  <si>
    <t>verduras y fruta</t>
  </si>
  <si>
    <t>impuesto de Binance</t>
  </si>
  <si>
    <t>Cuota 8/10 Cama y 1/3 de OneBlade</t>
  </si>
  <si>
    <t>200 de Jamon Cocido</t>
  </si>
  <si>
    <t>Mofin</t>
  </si>
  <si>
    <t>3 latas de Choclo</t>
  </si>
  <si>
    <t>2 alfajores</t>
  </si>
  <si>
    <t>Pan y factura</t>
  </si>
  <si>
    <t>huevos</t>
  </si>
  <si>
    <t>Queso y Crema</t>
  </si>
  <si>
    <t>Pago entrada Linkin Park</t>
  </si>
  <si>
    <t>Budin</t>
  </si>
  <si>
    <t>Frutas y Verduras</t>
  </si>
  <si>
    <t>Lecha y algo mas</t>
  </si>
  <si>
    <t>Medialunas</t>
  </si>
  <si>
    <t xml:space="preserve">Salchichas </t>
  </si>
  <si>
    <t>Peaje en la UNI</t>
  </si>
  <si>
    <t>Regalo de camiseta a PAPA</t>
  </si>
  <si>
    <t>Pebetes</t>
  </si>
  <si>
    <t>Juntada con los Pibes</t>
  </si>
  <si>
    <t>Diferencia de Pintura de Casa</t>
  </si>
  <si>
    <t>Cinta</t>
  </si>
  <si>
    <t>LOMO</t>
  </si>
  <si>
    <t>Yerba</t>
  </si>
  <si>
    <t>CAFE CON PAPA</t>
  </si>
  <si>
    <t>tRABA DE CANELLA ROTA DE DEPARTAMENTO</t>
  </si>
  <si>
    <t>Repetidor</t>
  </si>
  <si>
    <t>1/5 Pago de PC</t>
  </si>
  <si>
    <t>Exfoliante y Cremas</t>
  </si>
  <si>
    <t>Fijador</t>
  </si>
  <si>
    <t>PRESTAMO</t>
  </si>
  <si>
    <t>Prestamo de Alquiler a Juli</t>
  </si>
  <si>
    <t xml:space="preserve">Juntada con los Pibes </t>
  </si>
  <si>
    <t>Salida del sabado a boliche</t>
  </si>
  <si>
    <t>Remera</t>
  </si>
  <si>
    <t>Prestamo a Juli</t>
  </si>
  <si>
    <t>Juntada de Juli para comer</t>
  </si>
  <si>
    <t>COSAS NECESARIAS</t>
  </si>
  <si>
    <t>Compra de Camara
1/3</t>
  </si>
  <si>
    <t>Pan y Edulcorante</t>
  </si>
  <si>
    <t xml:space="preserve">Me quede encerrado afuera JAJAJA
Plata de Cadete </t>
  </si>
  <si>
    <t>Faltante para cerrar el mes</t>
  </si>
  <si>
    <t>Liquido de Ojos</t>
  </si>
  <si>
    <t>Perfumero</t>
  </si>
  <si>
    <t>SALIDA</t>
  </si>
  <si>
    <t>CAFE CON ANTOO</t>
  </si>
  <si>
    <t>Ford Fiesta</t>
  </si>
  <si>
    <t>Tomate con los pibes</t>
  </si>
  <si>
    <t>Entrada a partido de More</t>
  </si>
  <si>
    <t>Moto</t>
  </si>
  <si>
    <t>Comida de Genaro</t>
  </si>
  <si>
    <t>Minecraft</t>
  </si>
  <si>
    <t>asd</t>
  </si>
  <si>
    <t>l</t>
  </si>
  <si>
    <t>Pan</t>
  </si>
  <si>
    <t>s</t>
  </si>
  <si>
    <t>Chicle</t>
  </si>
  <si>
    <t>Buzo</t>
  </si>
  <si>
    <t>Muñequeras</t>
  </si>
  <si>
    <t>Pago de Gym</t>
  </si>
  <si>
    <t>Cacino</t>
  </si>
  <si>
    <t>Pantalon en RETO</t>
  </si>
  <si>
    <t>Juntada Con los Pibes</t>
  </si>
  <si>
    <t>Crema</t>
  </si>
  <si>
    <t>Budin - Juntada con Chapa</t>
  </si>
  <si>
    <t>Cafe UNI</t>
  </si>
  <si>
    <t>Pago de Adobe Ligh</t>
  </si>
  <si>
    <t>Cine con SOL</t>
  </si>
  <si>
    <t>Caramelos more</t>
  </si>
  <si>
    <t>Pururus y coca CINE</t>
  </si>
  <si>
    <t>Cuota 9/10 Cama</t>
  </si>
  <si>
    <t>Nafta al Auto</t>
  </si>
  <si>
    <t>Desodorante, crema y jamon cocido</t>
  </si>
  <si>
    <t>Asado con los pibes (Genaro)</t>
  </si>
  <si>
    <t>Pinchadura</t>
  </si>
  <si>
    <t xml:space="preserve">Cumpleaños de hugo, merienda </t>
  </si>
  <si>
    <t>Tapon y pernito de freno de la moto</t>
  </si>
  <si>
    <t>Magnesio para el Gym</t>
  </si>
  <si>
    <t>Masitas salida con los pibes</t>
  </si>
  <si>
    <t>mause Logitech</t>
  </si>
  <si>
    <t>zapatillas</t>
  </si>
  <si>
    <t>Me Culo ADOBE</t>
  </si>
  <si>
    <t>Salida</t>
  </si>
  <si>
    <t>Pasajes a buenos aires</t>
  </si>
  <si>
    <t>Cena con Juli</t>
  </si>
  <si>
    <t>Airsoft</t>
  </si>
  <si>
    <t>Cumple Comida</t>
  </si>
  <si>
    <t>Salida del vernes a boliche</t>
  </si>
  <si>
    <t>GASTOS EN CUMPLEAÑOS</t>
  </si>
  <si>
    <t>vino blanco</t>
  </si>
  <si>
    <t>Minoxidil</t>
  </si>
  <si>
    <t>Crema y Verdura</t>
  </si>
  <si>
    <t>Comida con Juli</t>
  </si>
  <si>
    <t>Pago de Crunchyroll</t>
  </si>
  <si>
    <t>Cerveza de cena con Juli</t>
  </si>
  <si>
    <t>Primera Cuota de Regalo de Sillon mama</t>
  </si>
  <si>
    <t>Youtube Premi</t>
  </si>
  <si>
    <t>Juntada Comida con los pibes</t>
  </si>
  <si>
    <t>Seña de AirSoft</t>
  </si>
  <si>
    <t>Gimnasio 1/2</t>
  </si>
  <si>
    <t>Gimnasio 2/2</t>
  </si>
  <si>
    <t>Comida del Genaro</t>
  </si>
  <si>
    <t>Prestamo a SOL</t>
  </si>
  <si>
    <t>AirSoft</t>
  </si>
  <si>
    <t>MASCOTA</t>
  </si>
  <si>
    <t>Comida Jamiro</t>
  </si>
  <si>
    <t>CREATINA</t>
  </si>
  <si>
    <t>Papas</t>
  </si>
  <si>
    <t>Viaje a buenos Aires</t>
  </si>
  <si>
    <t>Devolviendo 5000 del viaje</t>
  </si>
  <si>
    <t>Perfume Para mi t shampoo</t>
  </si>
  <si>
    <t>2 Cuota de Regalo de Sillon mama</t>
  </si>
  <si>
    <t>Pasaje 1/2 Vuelta Buenos Aires</t>
  </si>
  <si>
    <t>Funda de Celu</t>
  </si>
  <si>
    <t>Salida a Chill</t>
  </si>
  <si>
    <t>sass</t>
  </si>
  <si>
    <t>Zopapa y Crema</t>
  </si>
  <si>
    <t>Pinta en Tomate</t>
  </si>
  <si>
    <t>Helado con sol Costa</t>
  </si>
  <si>
    <t>biermania con los pibes</t>
  </si>
  <si>
    <t>Pebete</t>
  </si>
  <si>
    <t>Llampo anti caida</t>
  </si>
  <si>
    <t>Juntada con Agus</t>
  </si>
  <si>
    <t>Comida con Juli y Bau</t>
  </si>
  <si>
    <t>Pizzas con Agos</t>
  </si>
  <si>
    <t>Cine con Gena y Hugo</t>
  </si>
  <si>
    <t>Comida de Jamiro</t>
  </si>
  <si>
    <t>Salida con Agus</t>
  </si>
  <si>
    <t>Salida Con Agus</t>
  </si>
  <si>
    <t>3 Cuota de Regalo de Sillon mama</t>
  </si>
  <si>
    <t>1/3 Magnesio</t>
  </si>
  <si>
    <t>Perfume Natura 1/3</t>
  </si>
  <si>
    <t xml:space="preserve">Cama 10/10 </t>
  </si>
  <si>
    <t>Pasaje 2/2 Vuelta Buenos Aires</t>
  </si>
  <si>
    <t>Celular 1/3</t>
  </si>
  <si>
    <t>Monster</t>
  </si>
  <si>
    <t>Crema Humectante</t>
  </si>
  <si>
    <t>Forros</t>
  </si>
  <si>
    <t>Salida Con Agos</t>
  </si>
  <si>
    <t>Lentes de Contacto</t>
  </si>
  <si>
    <t>Funda para Celular</t>
  </si>
  <si>
    <t xml:space="preserve">Coca con los pibes </t>
  </si>
  <si>
    <t>Sanguches con sol</t>
  </si>
  <si>
    <t>Peajes que me Debe ALEBARRERA</t>
  </si>
  <si>
    <t>mama - para uber</t>
  </si>
  <si>
    <t>Los perdi</t>
  </si>
  <si>
    <t>Salida con Agos a Bullicio</t>
  </si>
  <si>
    <t>Salida con Sol - Pizzas</t>
  </si>
  <si>
    <t>Frutillas para Licuado</t>
  </si>
  <si>
    <t>Forros y Protector Solar</t>
  </si>
  <si>
    <t>Panchos con Agus</t>
  </si>
  <si>
    <t xml:space="preserve">Pago de Figma - Mes </t>
  </si>
  <si>
    <t>Joda con Agus - Limon</t>
  </si>
  <si>
    <t>Negro de Mierda que cuida autos</t>
  </si>
  <si>
    <t>Cine con More</t>
  </si>
  <si>
    <t>Alfajores con Agus</t>
  </si>
  <si>
    <t>Pantalon y Remera</t>
  </si>
  <si>
    <t>Protector de Pantalla</t>
  </si>
  <si>
    <t>Pan y Factura</t>
  </si>
  <si>
    <t>Comida de Navidad</t>
  </si>
  <si>
    <t>Birras con los Pibes</t>
  </si>
  <si>
    <t>Salida con agos</t>
  </si>
  <si>
    <t>Parches para grano</t>
  </si>
  <si>
    <t>Enchufes para Aires</t>
  </si>
  <si>
    <t>Parches y Anilinas para Pantalon</t>
  </si>
  <si>
    <t>Año Nuevo</t>
  </si>
  <si>
    <t>Alfajor</t>
  </si>
  <si>
    <t>Cumple de Juli</t>
  </si>
  <si>
    <t>Juntada a Comer Con Juli</t>
  </si>
  <si>
    <t>* $341.000 2da Cuota de Celular
* $11.700   2da Cuota de Magnesio
* $11.257   2da Cuota de Perfume
* $10.000   de tu regalo
* $22.500   1era Cuota de Pantalón</t>
  </si>
  <si>
    <t>Leche, Jamon Cocido, alcohol</t>
  </si>
  <si>
    <t>queso y crema</t>
  </si>
  <si>
    <t>Frutas</t>
  </si>
  <si>
    <t>Papas y alfajor de salida con Agos</t>
  </si>
  <si>
    <t>* $341.000 2da Cuota de Celular
* $11.700   2da Cuota de Magnesio
* $11.257   2da Cuota de Perfume
* $10.000   de tu regalo
* $22.500   1era Cuota de Pantalón
* $20.000   Plata que debia a mama</t>
  </si>
  <si>
    <t>Pancho con Agos</t>
  </si>
  <si>
    <t>Cine</t>
  </si>
  <si>
    <t>No recuerdo</t>
  </si>
  <si>
    <t>Sanguches de Miga</t>
  </si>
  <si>
    <t>Parte de Celu para la More</t>
  </si>
  <si>
    <t>Parches para Granos</t>
  </si>
  <si>
    <t>Piercing en la ceja</t>
  </si>
  <si>
    <t>Licuado con agus</t>
  </si>
  <si>
    <t>Lentes de SOl</t>
  </si>
  <si>
    <t>Palpel higienico</t>
  </si>
  <si>
    <t>Sanguches y Jugo</t>
  </si>
  <si>
    <t>Cine con Agus</t>
  </si>
  <si>
    <t>Factura - Juntada con los Pibes</t>
  </si>
  <si>
    <t>Minoxidil y Pastillas para el Acne</t>
  </si>
  <si>
    <t>Persevativos</t>
  </si>
  <si>
    <t xml:space="preserve">Coca y tafirol </t>
  </si>
  <si>
    <t>Pastillas y Termometro</t>
  </si>
  <si>
    <t>Pan y Té Vic</t>
  </si>
  <si>
    <t>Salida con agus</t>
  </si>
  <si>
    <t>Birra con Sol</t>
  </si>
  <si>
    <t>Queso,Crema,Fideos</t>
  </si>
  <si>
    <t>Cargador Samsung</t>
  </si>
  <si>
    <t>Pasaporte</t>
  </si>
  <si>
    <t>Juntada con Genaro</t>
  </si>
  <si>
    <t>Cerveza con Joa</t>
  </si>
  <si>
    <t>Juego de Boxeo</t>
  </si>
  <si>
    <t>Carta</t>
  </si>
  <si>
    <t>Coca y alfaores para juntada de Juli</t>
  </si>
  <si>
    <t>PERDIDO</t>
  </si>
  <si>
    <t>Debia a Bauti, pero envie mal la transfereincia</t>
  </si>
  <si>
    <t>Sanguche para juntada de juli</t>
  </si>
  <si>
    <t>Fotocopia y Carta</t>
  </si>
  <si>
    <t>Viaje a Cordoba</t>
  </si>
  <si>
    <t>Desayuno</t>
  </si>
  <si>
    <t>Peajes</t>
  </si>
  <si>
    <t>Regalo para santy</t>
  </si>
  <si>
    <t>Coca</t>
  </si>
  <si>
    <t>No recuerdo bien
- Comida de Jamiero
- cosas</t>
  </si>
  <si>
    <t>SALIDA / JUNTADA</t>
  </si>
  <si>
    <t>Salida con Anto</t>
  </si>
  <si>
    <t>Hamburguesas
(Mitad juli)</t>
  </si>
  <si>
    <t>Ceriales 
(Mitad con Juli)</t>
  </si>
  <si>
    <t>Platsul de Quemadura de Juli</t>
  </si>
  <si>
    <t>Agua Avion
((Mitad con Juli))</t>
  </si>
  <si>
    <t>Bolas Siplox</t>
  </si>
  <si>
    <t>Remera y Chomba de Zara</t>
  </si>
  <si>
    <t>Zapatillas Bans</t>
  </si>
  <si>
    <t>Pulseras</t>
  </si>
  <si>
    <t>Medias</t>
  </si>
  <si>
    <t>Plata prestada a juli para comprarse las Zapas en Mexico</t>
  </si>
  <si>
    <t>Hamburguesa</t>
  </si>
  <si>
    <t>Prestamo a Juli para el Roaming</t>
  </si>
  <si>
    <t>Prestamo a Juli para el Perfume</t>
  </si>
  <si>
    <t>Auricularres Razer</t>
  </si>
  <si>
    <t>Venda para Tatto</t>
  </si>
  <si>
    <t>Almuerzo en Aeropuerto de Bogota</t>
  </si>
  <si>
    <t>Coffe</t>
  </si>
  <si>
    <t>Regalo para mama</t>
  </si>
  <si>
    <t>Auriculares para Santy</t>
  </si>
  <si>
    <t>Remo de Aeropuerto a Casa de Ciril</t>
  </si>
  <si>
    <t>Agua para el Mate</t>
  </si>
  <si>
    <t>Prestamo a Bau</t>
  </si>
  <si>
    <t>Tapa Granos</t>
  </si>
  <si>
    <t>Con Agus en Telo</t>
  </si>
  <si>
    <t>Con Agus a la Costa</t>
  </si>
  <si>
    <t>Pool con Agus</t>
  </si>
  <si>
    <t>Tomates</t>
  </si>
  <si>
    <t>Comision de Traspaso de Dolares</t>
  </si>
  <si>
    <t>Prestamo a Sol</t>
  </si>
  <si>
    <t>Juntada con Gena (cena)</t>
  </si>
  <si>
    <t>Birra con Bau y Sol</t>
  </si>
  <si>
    <t>Cena con Agus</t>
  </si>
  <si>
    <t>$10,000.00        $7.13        Regalo Mama 6/10
$22,500.00        $16.04        Pantalon 3/3
$16,000.00        $11.41        Peluqueria
$40,000.00        $28.52        Vaucher mama
$29,000.00        $20.68        Roaming
$14,500.00        $10.34        Roaming
$14,500.00        $10.34        Roaming</t>
  </si>
  <si>
    <t>Regio con Agus</t>
  </si>
  <si>
    <t>Rabioles Casa de Gena</t>
  </si>
  <si>
    <t>Juntada con la Flia</t>
  </si>
  <si>
    <t>Pago de Youtube</t>
  </si>
  <si>
    <t>Boludeces del Chino</t>
  </si>
  <si>
    <t>Gel de Limpieza + Crema humectante</t>
  </si>
  <si>
    <t>Salchichas y Pan</t>
  </si>
  <si>
    <t>Alfajor y Masitas</t>
  </si>
  <si>
    <t>Cascarudo regalo a Agus</t>
  </si>
  <si>
    <t>Comida del Jamiro</t>
  </si>
  <si>
    <t>Kiosco - Chips</t>
  </si>
  <si>
    <t>Tapa Zocalo y Burlete</t>
  </si>
  <si>
    <t>SALUD</t>
  </si>
  <si>
    <t>iNYECTABLE</t>
  </si>
  <si>
    <t>Revision a Jamiro</t>
  </si>
  <si>
    <t>Hamburguesa con Agus</t>
  </si>
  <si>
    <t>Te</t>
  </si>
  <si>
    <t>Uber para Agos</t>
  </si>
  <si>
    <t>Prestamo de Bau</t>
  </si>
  <si>
    <t>Hambur con Gena y Hugo y Tato</t>
  </si>
  <si>
    <t>Sun Mar 29 2026 00:00:00 GMT-0300 (hora estándar de Argentina)</t>
  </si>
  <si>
    <t>Nafta para el auto</t>
  </si>
  <si>
    <t>Mon Mar 30 2026 00:00:00 GMT-0300 (hora estándar de Argentina)</t>
  </si>
  <si>
    <t>Vaso de Cremaa</t>
  </si>
  <si>
    <t>Pastillas Minoxidil</t>
  </si>
  <si>
    <t>Wed Apr 01 2026 00:00:00 GMT-0300 (hora estándar de Argentina)</t>
  </si>
  <si>
    <t>Asado del Papa</t>
  </si>
  <si>
    <t>Fri Apr 03 2026 00:00:00 GMT-0300 (hora estándar de Argentina)</t>
  </si>
  <si>
    <t>CERVEZA CON AGUS</t>
  </si>
  <si>
    <t>Fernet con Agus</t>
  </si>
  <si>
    <t>Corta Uñas</t>
  </si>
  <si>
    <t>Sat Apr 04 2026 00:00:00 GMT-0300 (hora estándar de Argentina)</t>
  </si>
  <si>
    <t>CUENTAS 1</t>
  </si>
  <si>
    <t>CUENTAS 2</t>
  </si>
  <si>
    <t>PLATA FISICA A VIRTUAL</t>
  </si>
  <si>
    <t>Plata a vecina</t>
  </si>
  <si>
    <t>Pago de Huevos de tana en billetes</t>
  </si>
  <si>
    <t>14,5 usd = Nafta de GAST</t>
  </si>
  <si>
    <t>TASA DE CONVERSION</t>
  </si>
  <si>
    <t>Código</t>
  </si>
  <si>
    <t>Detalle</t>
  </si>
  <si>
    <t>Unidad</t>
  </si>
  <si>
    <t>Precio Unitario</t>
  </si>
  <si>
    <t>Precio Total</t>
  </si>
  <si>
    <t>FECHA DE CREACION - Año-Mes</t>
  </si>
  <si>
    <t>SUM de CANTIDAD</t>
  </si>
  <si>
    <t>VIN.CASAL.ALC</t>
  </si>
  <si>
    <t>UN</t>
  </si>
  <si>
    <t>2025-mar</t>
  </si>
  <si>
    <t>AZUCAR.PERLA</t>
  </si>
  <si>
    <t>PAPEL.HIG.CAM</t>
  </si>
  <si>
    <t>YER.TRANQ.SU</t>
  </si>
  <si>
    <t>AL.QUE.500ML</t>
  </si>
  <si>
    <t>Esp Coc A1w G</t>
  </si>
  <si>
    <t>ESPONJA.C/CUIT</t>
  </si>
  <si>
    <t>LYSO.ARS.ORIG</t>
  </si>
  <si>
    <t>GU.MA.PLI.SAT</t>
  </si>
  <si>
    <t>2025-abr</t>
  </si>
  <si>
    <t>JABON DE TOCA</t>
  </si>
  <si>
    <t>J.PL.BC.ANAN.</t>
  </si>
  <si>
    <t>J.PL.BC.LIMO.</t>
  </si>
  <si>
    <t>J.PL.BC.FRÜ.L</t>
  </si>
  <si>
    <t>CALDO KN.CARX</t>
  </si>
  <si>
    <t>LAV.AYUD.ORIG</t>
  </si>
  <si>
    <t>JA.LI.SU.FR.T</t>
  </si>
  <si>
    <t>HISOPO.DONCEL</t>
  </si>
  <si>
    <t>2025-may</t>
  </si>
  <si>
    <t>CAF#.LV.INS.D</t>
  </si>
  <si>
    <t>ROCIO.VE.FRI.</t>
  </si>
  <si>
    <t>BOL.VIRU 45x5</t>
  </si>
  <si>
    <t>SAL.COC.66X19</t>
  </si>
  <si>
    <t>2025-jun</t>
  </si>
  <si>
    <t>CREM LS CUL X</t>
  </si>
  <si>
    <t>DDL.MANF.FLA</t>
  </si>
  <si>
    <t>LEC.UAT.ENT.H</t>
  </si>
  <si>
    <t>2025-jul</t>
  </si>
  <si>
    <t>2025-ago</t>
  </si>
  <si>
    <t>2025-sep</t>
  </si>
  <si>
    <t>2025-oct</t>
  </si>
  <si>
    <t>2025-nov</t>
  </si>
  <si>
    <t>2025-dic</t>
  </si>
  <si>
    <t>2026-ene</t>
  </si>
  <si>
    <t>2026-feb</t>
  </si>
  <si>
    <t>2026-mar</t>
  </si>
  <si>
    <t>2026-abr</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</si>
</sst>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quot;$&quot;#,##0.00"/>
    <numFmt numFmtId="165" formatCode="&quot;$&quot;#,##0.000"/>
    <numFmt numFmtId="166" formatCode="&quot;$&quot;#,##0"/>
    <numFmt numFmtId="167" formatCode="d/M/yyyy"/>
    <numFmt numFmtId="168" formatCode="dd/mm/yyyy"/>
    <numFmt numFmtId="169" formatCode="d/m/yyyy"/>
    <numFmt numFmtId="170" formatCode="m/d/yyyy h:mm:ss"/>
  </numFmts>
  <fonts count="19">
    <font>
      <sz val="10.0"/>
      <color rgb="FF000000"/>
      <name val="Arial"/>
      <scheme val="minor"/>
    </font>
    <font>
      <b/>
      <sz val="11.0"/>
      <color theme="1"/>
      <name val="Arial"/>
      <scheme val="minor"/>
    </font>
    <font>
      <color theme="1"/>
      <name val="Arial"/>
      <scheme val="minor"/>
    </font>
    <font/>
    <font>
      <b/>
      <color theme="1"/>
      <name val="Arial"/>
      <scheme val="minor"/>
    </font>
    <font>
      <color theme="1"/>
      <name val="Arial"/>
    </font>
    <font>
      <b/>
      <color theme="1"/>
      <name val="Arial"/>
    </font>
    <font>
      <i/>
      <color theme="1"/>
      <name val="Arial"/>
      <scheme val="minor"/>
    </font>
    <font>
      <color rgb="FF434343"/>
      <name val="Roboto"/>
    </font>
    <font>
      <color rgb="FFD4EDBC"/>
      <name val="Roboto"/>
    </font>
    <font>
      <color rgb="FF215A6C"/>
      <name val="Roboto"/>
    </font>
    <font>
      <sz val="12.0"/>
      <color theme="1"/>
      <name val="Arial"/>
      <scheme val="minor"/>
    </font>
    <font>
      <strike/>
      <color theme="1"/>
      <name val="Arial"/>
    </font>
    <font>
      <color rgb="FF0A53A8"/>
      <name val="Roboto"/>
    </font>
    <font>
      <color theme="1"/>
      <name val="Roboto"/>
    </font>
    <font>
      <sz val="12.0"/>
      <color rgb="FF434343"/>
      <name val="Roboto"/>
    </font>
    <font>
      <color rgb="FFBFE0F6"/>
      <name val="Roboto"/>
    </font>
    <font>
      <color rgb="FFC6DBE1"/>
      <name val="Roboto"/>
    </font>
    <font>
      <sz val="12.0"/>
      <color rgb="FFEAECEF"/>
      <name val="BinanceNova"/>
    </font>
  </fonts>
  <fills count="25">
    <fill>
      <patternFill patternType="none"/>
    </fill>
    <fill>
      <patternFill patternType="lightGray"/>
    </fill>
    <fill>
      <patternFill patternType="solid">
        <fgColor rgb="FFC27BA0"/>
        <bgColor rgb="FFC27BA0"/>
      </patternFill>
    </fill>
    <fill>
      <patternFill patternType="solid">
        <fgColor rgb="FF999999"/>
        <bgColor rgb="FF999999"/>
      </patternFill>
    </fill>
    <fill>
      <patternFill patternType="solid">
        <fgColor rgb="FF93C47D"/>
        <bgColor rgb="FF93C47D"/>
      </patternFill>
    </fill>
    <fill>
      <patternFill patternType="solid">
        <fgColor rgb="FFE06666"/>
        <bgColor rgb="FFE06666"/>
      </patternFill>
    </fill>
    <fill>
      <patternFill patternType="solid">
        <fgColor rgb="FFFFD966"/>
        <bgColor rgb="FFFFD966"/>
      </patternFill>
    </fill>
    <fill>
      <patternFill patternType="solid">
        <fgColor rgb="FF6AA84F"/>
        <bgColor rgb="FF6AA84F"/>
      </patternFill>
    </fill>
    <fill>
      <patternFill patternType="solid">
        <fgColor rgb="FF6D9EEB"/>
        <bgColor rgb="FF6D9EEB"/>
      </patternFill>
    </fill>
    <fill>
      <patternFill patternType="solid">
        <fgColor rgb="FFA4C2F4"/>
        <bgColor rgb="FFA4C2F4"/>
      </patternFill>
    </fill>
    <fill>
      <patternFill patternType="solid">
        <fgColor rgb="FFEA9999"/>
        <bgColor rgb="FFEA9999"/>
      </patternFill>
    </fill>
    <fill>
      <patternFill patternType="solid">
        <fgColor rgb="FFB6D7A8"/>
        <bgColor rgb="FFB6D7A8"/>
      </patternFill>
    </fill>
    <fill>
      <patternFill patternType="solid">
        <fgColor rgb="FF000000"/>
        <bgColor rgb="FF000000"/>
      </patternFill>
    </fill>
    <fill>
      <patternFill patternType="solid">
        <fgColor rgb="FFFFFF00"/>
        <bgColor rgb="FFFFFF00"/>
      </patternFill>
    </fill>
    <fill>
      <patternFill patternType="solid">
        <fgColor rgb="FFD9EAD3"/>
        <bgColor rgb="FFD9EAD3"/>
      </patternFill>
    </fill>
    <fill>
      <patternFill patternType="solid">
        <fgColor rgb="FFFCE5CD"/>
        <bgColor rgb="FFFCE5CD"/>
      </patternFill>
    </fill>
    <fill>
      <patternFill patternType="solid">
        <fgColor rgb="FFD9D2E9"/>
        <bgColor rgb="FFD9D2E9"/>
      </patternFill>
    </fill>
    <fill>
      <patternFill patternType="solid">
        <fgColor rgb="FF9FC5E8"/>
        <bgColor rgb="FF9FC5E8"/>
      </patternFill>
    </fill>
    <fill>
      <patternFill patternType="solid">
        <fgColor rgb="FFFFF2CC"/>
        <bgColor rgb="FFFFF2CC"/>
      </patternFill>
    </fill>
    <fill>
      <patternFill patternType="solid">
        <fgColor rgb="FFC9DAF8"/>
        <bgColor rgb="FFC9DAF8"/>
      </patternFill>
    </fill>
    <fill>
      <patternFill patternType="solid">
        <fgColor rgb="FFF4CCCC"/>
        <bgColor rgb="FFF4CCCC"/>
      </patternFill>
    </fill>
    <fill>
      <patternFill patternType="solid">
        <fgColor theme="7"/>
        <bgColor theme="7"/>
      </patternFill>
    </fill>
    <fill>
      <patternFill patternType="solid">
        <fgColor rgb="FFFFFFFF"/>
        <bgColor rgb="FFFFFFFF"/>
      </patternFill>
    </fill>
    <fill>
      <patternFill patternType="solid">
        <fgColor rgb="FFF6F8F9"/>
        <bgColor rgb="FFF6F8F9"/>
      </patternFill>
    </fill>
    <fill>
      <patternFill patternType="solid">
        <fgColor rgb="FF181A20"/>
        <bgColor rgb="FF181A20"/>
      </patternFill>
    </fill>
  </fills>
  <borders count="86">
    <border/>
    <border>
      <left style="thin">
        <color rgb="FF000000"/>
      </left>
      <right style="thin">
        <color rgb="FF000000"/>
      </right>
      <top style="thin">
        <color rgb="FF000000"/>
      </top>
    </border>
    <border>
      <left style="thick">
        <color rgb="FF000000"/>
      </left>
      <top style="thick">
        <color rgb="FF000000"/>
      </top>
      <bottom style="thin">
        <color rgb="FF000000"/>
      </bottom>
    </border>
    <border>
      <right style="thick">
        <color rgb="FF000000"/>
      </right>
      <top style="thick">
        <color rgb="FF000000"/>
      </top>
      <bottom style="thin">
        <color rgb="FF000000"/>
      </bottom>
    </border>
    <border>
      <right style="thin">
        <color rgb="FF000000"/>
      </right>
      <top style="thick">
        <color rgb="FF000000"/>
      </top>
      <bottom style="thin">
        <color rgb="FF000000"/>
      </bottom>
    </border>
    <border>
      <left style="thin">
        <color rgb="FF000000"/>
      </left>
      <right style="thick">
        <color rgb="FF000000"/>
      </right>
      <top style="thick">
        <color rgb="FF000000"/>
      </top>
    </border>
    <border>
      <left style="thin">
        <color rgb="FF000000"/>
      </left>
      <top style="thick">
        <color rgb="FF000000"/>
      </top>
    </border>
    <border>
      <right style="thick">
        <color rgb="FF000000"/>
      </right>
      <top style="thick">
        <color rgb="FF000000"/>
      </top>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thick">
        <color rgb="FF000000"/>
      </left>
      <top style="thick">
        <color rgb="FF000000"/>
      </top>
      <bottom style="medium">
        <color rgb="FF000000"/>
      </bottom>
    </border>
    <border>
      <top style="thick">
        <color rgb="FF000000"/>
      </top>
      <bottom style="medium">
        <color rgb="FF000000"/>
      </bottom>
    </border>
    <border>
      <right style="medium">
        <color rgb="FF000000"/>
      </right>
      <top style="thick">
        <color rgb="FF000000"/>
      </top>
      <bottom style="medium">
        <color rgb="FF000000"/>
      </bottom>
    </border>
    <border>
      <left style="medium">
        <color rgb="FF000000"/>
      </left>
      <right style="thick">
        <color rgb="FF000000"/>
      </right>
      <top style="thick">
        <color rgb="FF000000"/>
      </top>
    </border>
    <border>
      <left style="thick">
        <color rgb="FF000000"/>
      </left>
      <top style="thick">
        <color rgb="FF000000"/>
      </top>
    </border>
    <border>
      <top style="thick">
        <color rgb="FF000000"/>
      </top>
    </border>
    <border>
      <left style="medium">
        <color rgb="FF000000"/>
      </left>
      <right style="medium">
        <color rgb="FF000000"/>
      </right>
      <top style="medium">
        <color rgb="FF000000"/>
      </top>
      <bottom style="medium">
        <color rgb="FF000000"/>
      </bottom>
    </border>
    <border>
      <left style="thin">
        <color rgb="FF000000"/>
      </left>
      <right style="medium">
        <color rgb="FF000000"/>
      </right>
      <top style="medium">
        <color rgb="FF000000"/>
      </top>
      <bottom style="thin">
        <color rgb="FF000000"/>
      </bottom>
    </border>
    <border>
      <left style="thick">
        <color rgb="FF000000"/>
      </lef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rder>
    <border>
      <left style="thin">
        <color rgb="FF000000"/>
      </left>
      <right style="thick">
        <color rgb="FF000000"/>
      </right>
      <bottom style="thick">
        <color rgb="FF000000"/>
      </bottom>
    </border>
    <border>
      <left style="thin">
        <color rgb="FF000000"/>
      </left>
      <bottom style="thick">
        <color rgb="FF000000"/>
      </bottom>
    </border>
    <border>
      <right style="thick">
        <color rgb="FF000000"/>
      </right>
      <bottom style="thick">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ck">
        <color rgb="FF000000"/>
      </left>
      <right style="medium">
        <color rgb="FF000000"/>
      </right>
      <top style="medium">
        <color rgb="FF000000"/>
      </top>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thick">
        <color rgb="FF000000"/>
      </right>
      <bottom style="medium">
        <color rgb="FF000000"/>
      </bottom>
    </border>
    <border>
      <left style="thick">
        <color rgb="FF000000"/>
      </left>
      <right style="medium">
        <color rgb="FF000000"/>
      </right>
      <top style="medium">
        <color rgb="FF000000"/>
      </top>
      <bottom style="medium">
        <color rgb="FF000000"/>
      </bottom>
    </border>
    <border>
      <left style="medium">
        <color rgb="FF000000"/>
      </left>
      <right style="thick">
        <color rgb="FF000000"/>
      </right>
      <top style="medium">
        <color rgb="FF000000"/>
      </top>
      <bottom style="medium">
        <color rgb="FF000000"/>
      </bottom>
    </border>
    <border>
      <left style="thick">
        <color rgb="FF000000"/>
      </left>
      <right style="thin">
        <color rgb="FF000000"/>
      </right>
      <top style="thin">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ck">
        <color rgb="FF000000"/>
      </left>
      <right style="medium">
        <color rgb="FF000000"/>
      </right>
      <bottom style="thick">
        <color rgb="FF000000"/>
      </bottom>
    </border>
    <border>
      <left style="medium">
        <color rgb="FF000000"/>
      </left>
      <right style="medium">
        <color rgb="FF000000"/>
      </right>
      <bottom style="thick">
        <color rgb="FF000000"/>
      </bottom>
    </border>
    <border>
      <left style="medium">
        <color rgb="FF000000"/>
      </left>
      <right style="thick">
        <color rgb="FF000000"/>
      </right>
      <top style="medium">
        <color rgb="FF000000"/>
      </top>
    </border>
    <border>
      <left style="thick">
        <color rgb="FF000000"/>
      </left>
    </border>
    <border>
      <right style="thick">
        <color rgb="FF000000"/>
      </right>
    </border>
    <border>
      <left style="thick">
        <color rgb="FF000000"/>
      </left>
      <top style="thin">
        <color rgb="FF000000"/>
      </top>
    </border>
    <border>
      <right style="thick">
        <color rgb="FF000000"/>
      </right>
      <top style="thin">
        <color rgb="FF000000"/>
      </top>
    </border>
    <border>
      <right style="medium">
        <color rgb="FF000000"/>
      </right>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ck">
        <color rgb="FF000000"/>
      </left>
      <bottom style="thick">
        <color rgb="FF000000"/>
      </bottom>
    </border>
    <border>
      <right style="thin">
        <color rgb="FF000000"/>
      </right>
    </border>
    <border>
      <left style="medium">
        <color rgb="FF000000"/>
      </left>
    </border>
    <border>
      <left style="thick">
        <color rgb="FF000000"/>
      </left>
      <right style="thick">
        <color rgb="FF000000"/>
      </right>
      <top style="thick">
        <color rgb="FF000000"/>
      </top>
    </border>
    <border>
      <top style="thick">
        <color rgb="FF000000"/>
      </top>
      <bottom style="thin">
        <color rgb="FF000000"/>
      </bottom>
    </border>
    <border>
      <left style="thick">
        <color rgb="FF000000"/>
      </left>
      <right style="thick">
        <color rgb="FF000000"/>
      </right>
      <top style="thin">
        <color rgb="FF000000"/>
      </top>
      <bottom style="thick">
        <color rgb="FF000000"/>
      </bottom>
    </border>
    <border>
      <top style="thin">
        <color rgb="FF000000"/>
      </top>
      <bottom style="thick">
        <color rgb="FF000000"/>
      </bottom>
    </border>
    <border>
      <left style="thick">
        <color rgb="FF000000"/>
      </left>
      <right style="thick">
        <color rgb="FF000000"/>
      </right>
      <top style="thick">
        <color rgb="FF000000"/>
      </top>
      <bottom style="thick">
        <color rgb="FF000000"/>
      </bottom>
    </border>
    <border>
      <left style="thick">
        <color rgb="FF000000"/>
      </left>
      <right style="thick">
        <color rgb="FF000000"/>
      </right>
    </border>
    <border>
      <right style="thick">
        <color rgb="FF000000"/>
      </right>
      <top style="thin">
        <color rgb="FF000000"/>
      </top>
      <bottom style="thin">
        <color rgb="FF000000"/>
      </bottom>
    </border>
    <border>
      <right style="thick">
        <color rgb="FF000000"/>
      </right>
      <top style="thin">
        <color rgb="FF000000"/>
      </top>
      <bottom style="thick">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style="thin">
        <color rgb="FF000000"/>
      </right>
      <top style="thin">
        <color rgb="FF000000"/>
      </top>
      <bottom style="medium">
        <color rgb="FF000000"/>
      </bottom>
    </border>
    <border>
      <top style="medium">
        <color rgb="FF000000"/>
      </top>
      <bottom style="medium">
        <color rgb="FF000000"/>
      </bottom>
    </border>
    <border>
      <left style="thin">
        <color rgb="FF000000"/>
      </left>
      <right style="medium">
        <color rgb="FF000000"/>
      </right>
      <top style="thin">
        <color rgb="FF000000"/>
      </top>
    </border>
    <border>
      <left style="medium">
        <color rgb="FF000000"/>
      </left>
      <top style="thick">
        <color rgb="FF000000"/>
      </top>
      <bottom style="medium">
        <color rgb="FF000000"/>
      </bottom>
    </border>
    <border>
      <right style="thick">
        <color rgb="FF000000"/>
      </right>
      <top style="thick">
        <color rgb="FF000000"/>
      </top>
      <bottom style="medium">
        <color rgb="FF000000"/>
      </bottom>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top style="thick">
        <color rgb="FF000000"/>
      </top>
      <bottom style="thick">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ck">
        <color rgb="FF000000"/>
      </bottom>
    </border>
    <border>
      <left style="thin">
        <color rgb="FF742932"/>
      </left>
      <right style="thin">
        <color rgb="FFFFFFFF"/>
      </right>
      <top style="thin">
        <color rgb="FFFFFFFF"/>
      </top>
      <bottom style="thin">
        <color rgb="FF742932"/>
      </bottom>
    </border>
    <border>
      <left style="thin">
        <color rgb="FFFFFFFF"/>
      </left>
      <right style="thin">
        <color rgb="FFFFFFFF"/>
      </right>
      <top style="thin">
        <color rgb="FFFFFFFF"/>
      </top>
      <bottom style="thin">
        <color rgb="FF742932"/>
      </bottom>
    </border>
    <border>
      <left style="thin">
        <color rgb="FFFFFFFF"/>
      </left>
      <right style="thin">
        <color rgb="FF742932"/>
      </right>
      <top style="thin">
        <color rgb="FFFFFFFF"/>
      </top>
      <bottom style="thin">
        <color rgb="FF742932"/>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top style="thick">
        <color rgb="FFFF0000"/>
      </top>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s>
  <cellStyleXfs count="1">
    <xf borderId="0" fillId="0" fontId="0" numFmtId="0" applyAlignment="1" applyFont="1"/>
  </cellStyleXfs>
  <cellXfs count="286">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0" fillId="3" fontId="2" numFmtId="0" xfId="0" applyFill="1" applyFont="1"/>
    <xf borderId="0" fillId="3" fontId="2" numFmtId="0" xfId="0" applyAlignment="1" applyFont="1">
      <alignment horizontal="center" readingOrder="0"/>
    </xf>
    <xf borderId="2" fillId="4" fontId="1" numFmtId="0" xfId="0" applyAlignment="1" applyBorder="1" applyFill="1" applyFont="1">
      <alignment horizontal="center" readingOrder="0"/>
    </xf>
    <xf borderId="3" fillId="0" fontId="3" numFmtId="0" xfId="0" applyBorder="1" applyFont="1"/>
    <xf borderId="2" fillId="5" fontId="2" numFmtId="0" xfId="0" applyAlignment="1" applyBorder="1" applyFill="1" applyFont="1">
      <alignment horizontal="center" readingOrder="0"/>
    </xf>
    <xf borderId="4" fillId="0" fontId="3" numFmtId="0" xfId="0" applyBorder="1" applyFont="1"/>
    <xf borderId="5" fillId="6" fontId="2" numFmtId="0" xfId="0" applyAlignment="1" applyBorder="1" applyFill="1" applyFont="1">
      <alignment horizontal="center" readingOrder="0" vertical="center"/>
    </xf>
    <xf borderId="2" fillId="7" fontId="2" numFmtId="0" xfId="0" applyAlignment="1" applyBorder="1" applyFill="1" applyFont="1">
      <alignment horizontal="center" readingOrder="0"/>
    </xf>
    <xf borderId="6" fillId="6" fontId="2" numFmtId="0" xfId="0" applyAlignment="1" applyBorder="1" applyFont="1">
      <alignment horizontal="center" readingOrder="0" vertical="center"/>
    </xf>
    <xf borderId="7" fillId="0" fontId="3" numFmtId="0" xfId="0" applyBorder="1" applyFont="1"/>
    <xf borderId="8" fillId="8" fontId="4" numFmtId="0" xfId="0" applyAlignment="1" applyBorder="1" applyFill="1" applyFont="1">
      <alignment horizontal="center" readingOrder="0"/>
    </xf>
    <xf borderId="9" fillId="0" fontId="3" numFmtId="0" xfId="0" applyBorder="1" applyFont="1"/>
    <xf borderId="10" fillId="9" fontId="4" numFmtId="0" xfId="0" applyAlignment="1" applyBorder="1" applyFill="1" applyFont="1">
      <alignment horizontal="center" readingOrder="0" vertical="center"/>
    </xf>
    <xf borderId="11" fillId="0" fontId="3" numFmtId="0" xfId="0" applyBorder="1" applyFont="1"/>
    <xf borderId="12" fillId="0" fontId="3" numFmtId="0" xfId="0" applyBorder="1" applyFont="1"/>
    <xf borderId="13" fillId="10" fontId="2" numFmtId="0" xfId="0" applyAlignment="1" applyBorder="1" applyFill="1" applyFont="1">
      <alignment horizontal="center" readingOrder="0" vertical="center"/>
    </xf>
    <xf borderId="14" fillId="11" fontId="2" numFmtId="0" xfId="0" applyAlignment="1" applyBorder="1" applyFill="1" applyFont="1">
      <alignment horizontal="center" readingOrder="0"/>
    </xf>
    <xf borderId="15" fillId="0" fontId="3" numFmtId="0" xfId="0" applyBorder="1" applyFont="1"/>
    <xf borderId="15" fillId="12" fontId="2" numFmtId="0" xfId="0" applyBorder="1" applyFill="1" applyFont="1"/>
    <xf borderId="14" fillId="10" fontId="2" numFmtId="0" xfId="0" applyAlignment="1" applyBorder="1" applyFont="1">
      <alignment horizontal="center" readingOrder="0"/>
    </xf>
    <xf borderId="15" fillId="12" fontId="2" numFmtId="0" xfId="0" applyAlignment="1" applyBorder="1" applyFont="1">
      <alignment horizontal="center" readingOrder="0"/>
    </xf>
    <xf borderId="14" fillId="13" fontId="2" numFmtId="0" xfId="0" applyAlignment="1" applyBorder="1" applyFill="1" applyFont="1">
      <alignment horizontal="center" readingOrder="0"/>
    </xf>
    <xf borderId="0" fillId="0" fontId="2" numFmtId="0" xfId="0" applyAlignment="1" applyFont="1">
      <alignment horizontal="center" readingOrder="0"/>
    </xf>
    <xf borderId="16" fillId="8" fontId="2" numFmtId="0" xfId="0" applyAlignment="1" applyBorder="1" applyFont="1">
      <alignment readingOrder="0"/>
    </xf>
    <xf borderId="0" fillId="0" fontId="5" numFmtId="164" xfId="0" applyAlignment="1" applyFont="1" applyNumberFormat="1">
      <alignment horizontal="center" readingOrder="0" vertical="bottom"/>
    </xf>
    <xf borderId="17" fillId="0" fontId="2" numFmtId="164" xfId="0" applyAlignment="1" applyBorder="1" applyFont="1" applyNumberFormat="1">
      <alignment readingOrder="0"/>
    </xf>
    <xf borderId="18" fillId="4" fontId="4" numFmtId="0" xfId="0" applyAlignment="1" applyBorder="1" applyFont="1">
      <alignment horizontal="center" readingOrder="0"/>
    </xf>
    <xf borderId="19" fillId="4" fontId="4" numFmtId="0" xfId="0" applyAlignment="1" applyBorder="1" applyFont="1">
      <alignment horizontal="center" readingOrder="0"/>
    </xf>
    <xf borderId="20" fillId="8" fontId="2" numFmtId="0" xfId="0" applyAlignment="1" applyBorder="1" applyFont="1">
      <alignment horizontal="center" readingOrder="0"/>
    </xf>
    <xf borderId="1" fillId="4" fontId="2" numFmtId="0" xfId="0" applyAlignment="1" applyBorder="1" applyFont="1">
      <alignment horizontal="center" readingOrder="0"/>
    </xf>
    <xf borderId="21" fillId="0" fontId="3" numFmtId="0" xfId="0" applyBorder="1" applyFont="1"/>
    <xf borderId="22" fillId="0" fontId="3" numFmtId="0" xfId="0" applyBorder="1" applyFont="1"/>
    <xf borderId="23" fillId="0" fontId="3" numFmtId="0" xfId="0" applyBorder="1" applyFont="1"/>
    <xf borderId="24" fillId="0" fontId="2" numFmtId="0" xfId="0" applyAlignment="1" applyBorder="1" applyFont="1">
      <alignment readingOrder="0"/>
    </xf>
    <xf borderId="25" fillId="0" fontId="2" numFmtId="164" xfId="0" applyAlignment="1" applyBorder="1" applyFont="1" applyNumberFormat="1">
      <alignment readingOrder="0"/>
    </xf>
    <xf borderId="26" fillId="14" fontId="2" numFmtId="0" xfId="0" applyAlignment="1" applyBorder="1" applyFill="1" applyFont="1">
      <alignment horizontal="center" readingOrder="0" vertical="center"/>
    </xf>
    <xf borderId="27" fillId="15" fontId="2" numFmtId="0" xfId="0" applyAlignment="1" applyBorder="1" applyFill="1" applyFont="1">
      <alignment horizontal="center" readingOrder="0"/>
    </xf>
    <xf borderId="28" fillId="0" fontId="3" numFmtId="0" xfId="0" applyBorder="1" applyFont="1"/>
    <xf borderId="29" fillId="16" fontId="2" numFmtId="0" xfId="0" applyAlignment="1" applyBorder="1" applyFill="1" applyFont="1">
      <alignment horizontal="center" readingOrder="0" vertical="center"/>
    </xf>
    <xf borderId="30" fillId="0" fontId="3" numFmtId="0" xfId="0" applyBorder="1" applyFont="1"/>
    <xf borderId="31" fillId="17" fontId="2" numFmtId="0" xfId="0" applyAlignment="1" applyBorder="1" applyFill="1" applyFont="1">
      <alignment horizontal="center" readingOrder="0"/>
    </xf>
    <xf borderId="16" fillId="17" fontId="2" numFmtId="0" xfId="0" applyAlignment="1" applyBorder="1" applyFont="1">
      <alignment horizontal="center" readingOrder="0"/>
    </xf>
    <xf borderId="32" fillId="17" fontId="2" numFmtId="0" xfId="0" applyAlignment="1" applyBorder="1" applyFont="1">
      <alignment horizontal="center" readingOrder="0"/>
    </xf>
    <xf borderId="28" fillId="12" fontId="2" numFmtId="0" xfId="0" applyBorder="1" applyFont="1"/>
    <xf borderId="27" fillId="12" fontId="2" numFmtId="0" xfId="0" applyAlignment="1" applyBorder="1" applyFont="1">
      <alignment readingOrder="0"/>
    </xf>
    <xf borderId="0" fillId="0" fontId="2" numFmtId="0" xfId="0" applyAlignment="1" applyFont="1">
      <alignment readingOrder="0"/>
    </xf>
    <xf borderId="24" fillId="0" fontId="5" numFmtId="164" xfId="0" applyAlignment="1" applyBorder="1" applyFont="1" applyNumberFormat="1">
      <alignment horizontal="center" readingOrder="0" vertical="bottom"/>
    </xf>
    <xf borderId="25" fillId="0" fontId="2" numFmtId="164" xfId="0" applyBorder="1" applyFont="1" applyNumberFormat="1"/>
    <xf borderId="33" fillId="10" fontId="2" numFmtId="164" xfId="0" applyAlignment="1" applyBorder="1" applyFont="1" applyNumberFormat="1">
      <alignment horizontal="center"/>
    </xf>
    <xf borderId="19" fillId="10" fontId="2" numFmtId="164" xfId="0" applyAlignment="1" applyBorder="1" applyFont="1" applyNumberFormat="1">
      <alignment horizontal="center"/>
    </xf>
    <xf borderId="34" fillId="0" fontId="2" numFmtId="164" xfId="0" applyAlignment="1" applyBorder="1" applyFont="1" applyNumberFormat="1">
      <alignment horizontal="center" vertical="center"/>
    </xf>
    <xf borderId="35" fillId="0" fontId="2" numFmtId="164" xfId="0" applyAlignment="1" applyBorder="1" applyFont="1" applyNumberFormat="1">
      <alignment horizontal="center" readingOrder="0" vertical="center"/>
    </xf>
    <xf borderId="36" fillId="0" fontId="2" numFmtId="0" xfId="0" applyAlignment="1" applyBorder="1" applyFont="1">
      <alignment horizontal="center" readingOrder="0" vertical="center"/>
    </xf>
    <xf borderId="37" fillId="0" fontId="2" numFmtId="164" xfId="0" applyAlignment="1" applyBorder="1" applyFont="1" applyNumberFormat="1">
      <alignment horizontal="center" vertical="center"/>
    </xf>
    <xf borderId="38" fillId="0" fontId="2" numFmtId="164" xfId="0" applyAlignment="1" applyBorder="1" applyFont="1" applyNumberFormat="1">
      <alignment horizontal="center" readingOrder="0" vertical="center"/>
    </xf>
    <xf borderId="38" fillId="0" fontId="2" numFmtId="0" xfId="0" applyAlignment="1" applyBorder="1" applyFont="1">
      <alignment horizontal="center" readingOrder="0" vertical="center"/>
    </xf>
    <xf borderId="17" fillId="0" fontId="4" numFmtId="0" xfId="0" applyAlignment="1" applyBorder="1" applyFont="1">
      <alignment horizontal="center" readingOrder="0" vertical="center"/>
    </xf>
    <xf borderId="25" fillId="0" fontId="2" numFmtId="0" xfId="0" applyBorder="1" applyFont="1"/>
    <xf borderId="39" fillId="0" fontId="3" numFmtId="0" xfId="0" applyBorder="1" applyFont="1"/>
    <xf borderId="29" fillId="15" fontId="2" numFmtId="0" xfId="0" applyAlignment="1" applyBorder="1" applyFont="1">
      <alignment readingOrder="0"/>
    </xf>
    <xf borderId="40" fillId="0" fontId="3" numFmtId="0" xfId="0" applyBorder="1" applyFont="1"/>
    <xf borderId="41" fillId="10" fontId="1" numFmtId="0" xfId="0" applyAlignment="1" applyBorder="1" applyFont="1">
      <alignment horizontal="center" readingOrder="0"/>
    </xf>
    <xf borderId="42" fillId="0" fontId="2" numFmtId="164" xfId="0" applyAlignment="1" applyBorder="1" applyFont="1" applyNumberFormat="1">
      <alignment horizontal="center" readingOrder="0"/>
    </xf>
    <xf borderId="0" fillId="0" fontId="2" numFmtId="164" xfId="0" applyAlignment="1" applyFont="1" applyNumberFormat="1">
      <alignment horizontal="center"/>
    </xf>
    <xf borderId="43" fillId="0" fontId="2" numFmtId="0" xfId="0" applyAlignment="1" applyBorder="1" applyFont="1">
      <alignment horizontal="center" readingOrder="0"/>
    </xf>
    <xf borderId="0" fillId="12" fontId="2" numFmtId="0" xfId="0" applyAlignment="1" applyFont="1">
      <alignment horizontal="center"/>
    </xf>
    <xf borderId="43" fillId="0" fontId="2" numFmtId="0" xfId="0" applyAlignment="1" applyBorder="1" applyFont="1">
      <alignment horizontal="center" readingOrder="0" shrinkToFit="0" wrapText="0"/>
    </xf>
    <xf borderId="0" fillId="12" fontId="2" numFmtId="0" xfId="0" applyAlignment="1" applyFont="1">
      <alignment readingOrder="0"/>
    </xf>
    <xf borderId="0" fillId="0" fontId="2" numFmtId="0" xfId="0" applyAlignment="1" applyFont="1">
      <alignment horizontal="center" readingOrder="0" shrinkToFit="0" wrapText="0"/>
    </xf>
    <xf borderId="16" fillId="4" fontId="2" numFmtId="0" xfId="0" applyAlignment="1" applyBorder="1" applyFont="1">
      <alignment readingOrder="0"/>
    </xf>
    <xf borderId="44" fillId="7" fontId="4" numFmtId="0" xfId="0" applyAlignment="1" applyBorder="1" applyFont="1">
      <alignment horizontal="center" readingOrder="0" vertical="center"/>
    </xf>
    <xf borderId="45" fillId="0" fontId="3" numFmtId="0" xfId="0" applyBorder="1" applyFont="1"/>
    <xf borderId="0" fillId="0" fontId="2" numFmtId="164" xfId="0" applyAlignment="1" applyFont="1" applyNumberFormat="1">
      <alignment horizontal="center" readingOrder="0" vertical="center"/>
    </xf>
    <xf borderId="46" fillId="0" fontId="2" numFmtId="165" xfId="0" applyAlignment="1" applyBorder="1" applyFont="1" applyNumberFormat="1">
      <alignment horizontal="center" readingOrder="0"/>
    </xf>
    <xf borderId="24" fillId="0" fontId="2" numFmtId="164" xfId="0" applyAlignment="1" applyBorder="1" applyFont="1" applyNumberFormat="1">
      <alignment horizontal="center" vertical="center"/>
    </xf>
    <xf borderId="47" fillId="0" fontId="5" numFmtId="164" xfId="0" applyAlignment="1" applyBorder="1" applyFont="1" applyNumberFormat="1">
      <alignment horizontal="center" vertical="center"/>
    </xf>
    <xf borderId="47" fillId="0" fontId="5" numFmtId="0" xfId="0" applyAlignment="1" applyBorder="1" applyFont="1">
      <alignment horizontal="center" readingOrder="0" vertical="center"/>
    </xf>
    <xf borderId="25" fillId="0" fontId="6" numFmtId="0" xfId="0" applyAlignment="1" applyBorder="1" applyFont="1">
      <alignment horizontal="center" vertical="center"/>
    </xf>
    <xf borderId="48" fillId="7" fontId="2" numFmtId="0" xfId="0" applyAlignment="1" applyBorder="1" applyFont="1">
      <alignment readingOrder="0"/>
    </xf>
    <xf borderId="49" fillId="7" fontId="2" numFmtId="164" xfId="0" applyBorder="1" applyFont="1" applyNumberFormat="1"/>
    <xf borderId="37" fillId="0" fontId="2" numFmtId="164" xfId="0" applyAlignment="1" applyBorder="1" applyFont="1" applyNumberFormat="1">
      <alignment horizontal="center" readingOrder="0" vertical="center"/>
    </xf>
    <xf borderId="38" fillId="0" fontId="2" numFmtId="164" xfId="0" applyAlignment="1" applyBorder="1" applyFont="1" applyNumberFormat="1">
      <alignment horizontal="center" vertical="center"/>
    </xf>
    <xf borderId="38" fillId="14" fontId="2" numFmtId="0" xfId="0" applyAlignment="1" applyBorder="1" applyFont="1">
      <alignment horizontal="left" readingOrder="0" shrinkToFit="0" vertical="center" wrapText="0"/>
    </xf>
    <xf borderId="17" fillId="0" fontId="2" numFmtId="164" xfId="0" applyAlignment="1" applyBorder="1" applyFont="1" applyNumberFormat="1">
      <alignment horizontal="center" vertical="center"/>
    </xf>
    <xf borderId="50" fillId="10" fontId="4" numFmtId="164" xfId="0" applyAlignment="1" applyBorder="1" applyFont="1" applyNumberFormat="1">
      <alignment horizontal="center"/>
    </xf>
    <xf borderId="42" fillId="18" fontId="2" numFmtId="164" xfId="0" applyAlignment="1" applyBorder="1" applyFill="1" applyFont="1" applyNumberFormat="1">
      <alignment horizontal="center" readingOrder="0"/>
    </xf>
    <xf borderId="0" fillId="18" fontId="2" numFmtId="164" xfId="0" applyAlignment="1" applyFont="1" applyNumberFormat="1">
      <alignment horizontal="center"/>
    </xf>
    <xf borderId="43" fillId="18" fontId="2" numFmtId="0" xfId="0" applyAlignment="1" applyBorder="1" applyFont="1">
      <alignment horizontal="center" readingOrder="0"/>
    </xf>
    <xf borderId="0" fillId="12" fontId="2" numFmtId="0" xfId="0" applyFont="1"/>
    <xf borderId="24" fillId="0" fontId="2" numFmtId="164" xfId="0" applyAlignment="1" applyBorder="1" applyFont="1" applyNumberFormat="1">
      <alignment horizontal="center" readingOrder="0"/>
    </xf>
    <xf borderId="50" fillId="0" fontId="3" numFmtId="0" xfId="0" applyBorder="1" applyFont="1"/>
    <xf borderId="46" fillId="0" fontId="2" numFmtId="166" xfId="0" applyAlignment="1" applyBorder="1" applyFont="1" applyNumberFormat="1">
      <alignment horizontal="center" readingOrder="0"/>
    </xf>
    <xf borderId="47" fillId="0" fontId="5" numFmtId="0" xfId="0" applyAlignment="1" applyBorder="1" applyFont="1">
      <alignment horizontal="center" vertical="center"/>
    </xf>
    <xf borderId="24" fillId="0" fontId="2" numFmtId="164" xfId="0" applyAlignment="1" applyBorder="1" applyFont="1" applyNumberFormat="1">
      <alignment horizontal="center" readingOrder="0" vertical="center"/>
    </xf>
    <xf borderId="47" fillId="0" fontId="2" numFmtId="164" xfId="0" applyAlignment="1" applyBorder="1" applyFont="1" applyNumberFormat="1">
      <alignment horizontal="center" readingOrder="0" vertical="center"/>
    </xf>
    <xf borderId="47" fillId="0" fontId="2" numFmtId="164" xfId="0" applyAlignment="1" applyBorder="1" applyFont="1" applyNumberFormat="1">
      <alignment horizontal="center" vertical="center"/>
    </xf>
    <xf borderId="47" fillId="14" fontId="2" numFmtId="0" xfId="0" applyAlignment="1" applyBorder="1" applyFont="1">
      <alignment horizontal="left" readingOrder="0" shrinkToFit="0" vertical="center" wrapText="0"/>
    </xf>
    <xf borderId="25" fillId="0" fontId="2" numFmtId="164" xfId="0" applyAlignment="1" applyBorder="1" applyFont="1" applyNumberFormat="1">
      <alignment horizontal="center" vertical="center"/>
    </xf>
    <xf borderId="43" fillId="18" fontId="2" numFmtId="0" xfId="0" applyAlignment="1" applyBorder="1" applyFont="1">
      <alignment readingOrder="0"/>
    </xf>
    <xf borderId="51" fillId="0" fontId="2" numFmtId="0" xfId="0" applyAlignment="1" applyBorder="1" applyFont="1">
      <alignment horizontal="center" readingOrder="0"/>
    </xf>
    <xf borderId="48" fillId="0" fontId="2" numFmtId="164" xfId="0" applyAlignment="1" applyBorder="1" applyFont="1" applyNumberFormat="1">
      <alignment horizontal="center" readingOrder="0"/>
    </xf>
    <xf borderId="49" fillId="0" fontId="2" numFmtId="164" xfId="0" applyBorder="1" applyFont="1" applyNumberFormat="1"/>
    <xf borderId="0" fillId="3" fontId="2" numFmtId="0" xfId="0" applyAlignment="1" applyFont="1">
      <alignment horizontal="center"/>
    </xf>
    <xf borderId="47" fillId="0" fontId="5" numFmtId="164" xfId="0" applyAlignment="1" applyBorder="1" applyFont="1" applyNumberFormat="1">
      <alignment horizontal="center" readingOrder="0" vertical="center"/>
    </xf>
    <xf borderId="0" fillId="14" fontId="2" numFmtId="0" xfId="0" applyAlignment="1" applyFont="1">
      <alignment readingOrder="0" shrinkToFit="0" wrapText="0"/>
    </xf>
    <xf borderId="25" fillId="0" fontId="4" numFmtId="0" xfId="0" applyAlignment="1" applyBorder="1" applyFont="1">
      <alignment horizontal="center" readingOrder="0" vertical="center"/>
    </xf>
    <xf borderId="0" fillId="14" fontId="2" numFmtId="0" xfId="0" applyAlignment="1" applyFont="1">
      <alignment horizontal="left" readingOrder="0" shrinkToFit="0" vertical="center" wrapText="0"/>
    </xf>
    <xf borderId="42" fillId="19" fontId="2" numFmtId="164" xfId="0" applyAlignment="1" applyBorder="1" applyFill="1" applyFont="1" applyNumberFormat="1">
      <alignment horizontal="center" readingOrder="0"/>
    </xf>
    <xf borderId="0" fillId="19" fontId="2" numFmtId="164" xfId="0" applyAlignment="1" applyFont="1" applyNumberFormat="1">
      <alignment horizontal="center"/>
    </xf>
    <xf borderId="43" fillId="19" fontId="2" numFmtId="0" xfId="0" applyAlignment="1" applyBorder="1" applyFont="1">
      <alignment horizontal="center" readingOrder="0"/>
    </xf>
    <xf borderId="52" fillId="0" fontId="2" numFmtId="164" xfId="0" applyAlignment="1" applyBorder="1" applyFont="1" applyNumberFormat="1">
      <alignment horizontal="center"/>
    </xf>
    <xf borderId="46" fillId="0" fontId="2" numFmtId="0" xfId="0" applyAlignment="1" applyBorder="1" applyFont="1">
      <alignment horizontal="center" readingOrder="0"/>
    </xf>
    <xf borderId="47" fillId="0" fontId="2" numFmtId="0" xfId="0" applyAlignment="1" applyBorder="1" applyFont="1">
      <alignment horizontal="center" readingOrder="0" vertical="center"/>
    </xf>
    <xf borderId="25" fillId="0" fontId="4" numFmtId="0" xfId="0" applyAlignment="1" applyBorder="1" applyFont="1">
      <alignment horizontal="center" vertical="center"/>
    </xf>
    <xf borderId="0" fillId="0" fontId="2" numFmtId="164" xfId="0" applyAlignment="1" applyFont="1" applyNumberFormat="1">
      <alignment horizontal="center" readingOrder="0"/>
    </xf>
    <xf borderId="43" fillId="0" fontId="2" numFmtId="0" xfId="0" applyAlignment="1" applyBorder="1" applyFont="1">
      <alignment horizontal="center"/>
    </xf>
    <xf borderId="0" fillId="0" fontId="2" numFmtId="164" xfId="0" applyAlignment="1" applyFont="1" applyNumberFormat="1">
      <alignment horizontal="center" readingOrder="0" shrinkToFit="0" wrapText="0"/>
    </xf>
    <xf borderId="0" fillId="0" fontId="2" numFmtId="0" xfId="0" applyAlignment="1" applyFont="1">
      <alignment readingOrder="0" shrinkToFit="0" wrapText="0"/>
    </xf>
    <xf borderId="53" fillId="4" fontId="2" numFmtId="0" xfId="0" applyAlignment="1" applyBorder="1" applyFont="1">
      <alignment horizontal="center" readingOrder="0"/>
    </xf>
    <xf borderId="54" fillId="0" fontId="2" numFmtId="164" xfId="0" applyAlignment="1" applyBorder="1" applyFont="1" applyNumberFormat="1">
      <alignment horizontal="center" readingOrder="0"/>
    </xf>
    <xf borderId="53" fillId="0" fontId="2" numFmtId="164" xfId="0" applyAlignment="1" applyBorder="1" applyFont="1" applyNumberFormat="1">
      <alignment horizontal="center"/>
    </xf>
    <xf borderId="47" fillId="0" fontId="2" numFmtId="0" xfId="0" applyAlignment="1" applyBorder="1" applyFont="1">
      <alignment horizontal="center" vertical="center"/>
    </xf>
    <xf borderId="42" fillId="0" fontId="2" numFmtId="164" xfId="0" applyAlignment="1" applyBorder="1" applyFont="1" applyNumberFormat="1">
      <alignment horizontal="center"/>
    </xf>
    <xf borderId="55" fillId="8" fontId="2" numFmtId="0" xfId="0" applyAlignment="1" applyBorder="1" applyFont="1">
      <alignment horizontal="center" readingOrder="0"/>
    </xf>
    <xf borderId="56" fillId="0" fontId="2" numFmtId="164" xfId="0" applyAlignment="1" applyBorder="1" applyFont="1" applyNumberFormat="1">
      <alignment horizontal="center" readingOrder="0"/>
    </xf>
    <xf borderId="55" fillId="0" fontId="2" numFmtId="164" xfId="0" applyAlignment="1" applyBorder="1" applyFont="1" applyNumberFormat="1">
      <alignment horizontal="center" readingOrder="0"/>
    </xf>
    <xf borderId="0" fillId="0" fontId="2" numFmtId="0" xfId="0" applyAlignment="1" applyFont="1">
      <alignment horizontal="center"/>
    </xf>
    <xf borderId="57" fillId="4" fontId="2" numFmtId="0" xfId="0" applyAlignment="1" applyBorder="1" applyFont="1">
      <alignment horizontal="center" readingOrder="0"/>
    </xf>
    <xf borderId="3" fillId="0" fontId="2" numFmtId="164" xfId="0" applyAlignment="1" applyBorder="1" applyFont="1" applyNumberFormat="1">
      <alignment readingOrder="0"/>
    </xf>
    <xf borderId="25" fillId="0" fontId="2" numFmtId="0" xfId="0" applyAlignment="1" applyBorder="1" applyFont="1">
      <alignment horizontal="center" vertical="center"/>
    </xf>
    <xf borderId="58" fillId="12" fontId="2" numFmtId="0" xfId="0" applyBorder="1" applyFont="1"/>
    <xf borderId="59" fillId="12" fontId="2" numFmtId="0" xfId="0" applyAlignment="1" applyBorder="1" applyFont="1">
      <alignment readingOrder="0"/>
    </xf>
    <xf borderId="57" fillId="8" fontId="2" numFmtId="0" xfId="0" applyAlignment="1" applyBorder="1" applyFont="1">
      <alignment horizontal="center" readingOrder="0"/>
    </xf>
    <xf borderId="60" fillId="0" fontId="2" numFmtId="164" xfId="0" applyAlignment="1" applyBorder="1" applyFont="1" applyNumberFormat="1">
      <alignment readingOrder="0"/>
    </xf>
    <xf borderId="52" fillId="0" fontId="2" numFmtId="164" xfId="0" applyAlignment="1" applyBorder="1" applyFont="1" applyNumberFormat="1">
      <alignment horizontal="center" vertical="center"/>
    </xf>
    <xf borderId="0" fillId="0" fontId="2" numFmtId="164" xfId="0" applyAlignment="1" applyFont="1" applyNumberFormat="1">
      <alignment horizontal="center" vertical="center"/>
    </xf>
    <xf borderId="46" fillId="0" fontId="2" numFmtId="0" xfId="0" applyAlignment="1" applyBorder="1" applyFont="1">
      <alignment horizontal="center" vertical="center"/>
    </xf>
    <xf borderId="24" fillId="0" fontId="2" numFmtId="0" xfId="0" applyAlignment="1" applyBorder="1" applyFont="1">
      <alignment horizontal="center" vertical="center"/>
    </xf>
    <xf borderId="61" fillId="0" fontId="2" numFmtId="164" xfId="0" applyAlignment="1" applyBorder="1" applyFont="1" applyNumberFormat="1">
      <alignment horizontal="center" vertical="center"/>
    </xf>
    <xf borderId="62" fillId="0" fontId="2" numFmtId="164" xfId="0" applyAlignment="1" applyBorder="1" applyFont="1" applyNumberFormat="1">
      <alignment horizontal="center" vertical="center"/>
    </xf>
    <xf borderId="63" fillId="0" fontId="2" numFmtId="0" xfId="0" applyAlignment="1" applyBorder="1" applyFont="1">
      <alignment horizontal="center" vertical="center"/>
    </xf>
    <xf borderId="48" fillId="0" fontId="2" numFmtId="164" xfId="0" applyAlignment="1" applyBorder="1" applyFont="1" applyNumberFormat="1">
      <alignment horizontal="center" vertical="center"/>
    </xf>
    <xf borderId="64" fillId="0" fontId="2" numFmtId="0" xfId="0" applyAlignment="1" applyBorder="1" applyFont="1">
      <alignment horizontal="center" vertical="center"/>
    </xf>
    <xf borderId="49" fillId="0" fontId="4" numFmtId="0" xfId="0" applyAlignment="1" applyBorder="1" applyFont="1">
      <alignment horizontal="center" vertical="center"/>
    </xf>
    <xf borderId="24" fillId="0" fontId="5" numFmtId="164" xfId="0" applyAlignment="1" applyBorder="1" applyFont="1" applyNumberFormat="1">
      <alignment horizontal="right" readingOrder="0" vertical="bottom"/>
    </xf>
    <xf borderId="27" fillId="10" fontId="2" numFmtId="166" xfId="0" applyAlignment="1" applyBorder="1" applyFont="1" applyNumberFormat="1">
      <alignment horizontal="center"/>
    </xf>
    <xf borderId="28" fillId="10" fontId="2" numFmtId="0" xfId="0" applyAlignment="1" applyBorder="1" applyFont="1">
      <alignment readingOrder="0"/>
    </xf>
    <xf borderId="27" fillId="4" fontId="2" numFmtId="166" xfId="0" applyAlignment="1" applyBorder="1" applyFont="1" applyNumberFormat="1">
      <alignment horizontal="center"/>
    </xf>
    <xf borderId="65" fillId="0" fontId="3" numFmtId="0" xfId="0" applyBorder="1" applyFont="1"/>
    <xf borderId="27" fillId="4" fontId="2" numFmtId="0" xfId="0" applyAlignment="1" applyBorder="1" applyFont="1">
      <alignment horizontal="center" readingOrder="0"/>
    </xf>
    <xf borderId="66" fillId="0" fontId="2" numFmtId="0" xfId="0" applyAlignment="1" applyBorder="1" applyFont="1">
      <alignment horizontal="center" vertical="center"/>
    </xf>
    <xf borderId="0" fillId="0" fontId="7" numFmtId="0" xfId="0" applyAlignment="1" applyFont="1">
      <alignment horizontal="center" readingOrder="0" vertical="center"/>
    </xf>
    <xf borderId="42" fillId="0" fontId="2" numFmtId="0" xfId="0" applyAlignment="1" applyBorder="1" applyFont="1">
      <alignment horizontal="center"/>
    </xf>
    <xf borderId="0" fillId="0" fontId="5" numFmtId="164" xfId="0" applyAlignment="1" applyFont="1" applyNumberFormat="1">
      <alignment horizontal="right" readingOrder="0" vertical="bottom"/>
    </xf>
    <xf borderId="67" fillId="10" fontId="4" numFmtId="0" xfId="0" applyAlignment="1" applyBorder="1" applyFont="1">
      <alignment horizontal="right" readingOrder="0" vertical="center"/>
    </xf>
    <xf borderId="68" fillId="0" fontId="3" numFmtId="0" xfId="0" applyBorder="1" applyFont="1"/>
    <xf borderId="16" fillId="10" fontId="1" numFmtId="164" xfId="0" applyAlignment="1" applyBorder="1" applyFont="1" applyNumberFormat="1">
      <alignment horizontal="center" readingOrder="0"/>
    </xf>
    <xf borderId="16" fillId="9" fontId="6" numFmtId="0" xfId="0" applyAlignment="1" applyBorder="1" applyFont="1">
      <alignment readingOrder="0" vertical="bottom"/>
    </xf>
    <xf borderId="8" fillId="4" fontId="2" numFmtId="166" xfId="0" applyAlignment="1" applyBorder="1" applyFont="1" applyNumberFormat="1">
      <alignment horizontal="center" readingOrder="0"/>
    </xf>
    <xf borderId="36" fillId="6" fontId="2" numFmtId="0" xfId="0" applyAlignment="1" applyBorder="1" applyFont="1">
      <alignment horizontal="center" readingOrder="0" vertical="center"/>
    </xf>
    <xf borderId="0" fillId="0" fontId="2" numFmtId="0" xfId="0" applyAlignment="1" applyFont="1">
      <alignment horizontal="center" vertical="center"/>
    </xf>
    <xf borderId="16" fillId="9" fontId="2" numFmtId="0" xfId="0" applyAlignment="1" applyBorder="1" applyFont="1">
      <alignment horizontal="center" readingOrder="0" vertical="center"/>
    </xf>
    <xf borderId="16" fillId="11" fontId="6" numFmtId="164" xfId="0" applyAlignment="1" applyBorder="1" applyFont="1" applyNumberFormat="1">
      <alignment horizontal="center" vertical="bottom"/>
    </xf>
    <xf borderId="0" fillId="0" fontId="2" numFmtId="0" xfId="0" applyAlignment="1" applyFont="1">
      <alignment horizontal="center" readingOrder="0" vertical="center"/>
    </xf>
    <xf borderId="42" fillId="0" fontId="2" numFmtId="0" xfId="0" applyBorder="1" applyFont="1"/>
    <xf borderId="43" fillId="0" fontId="2" numFmtId="0" xfId="0" applyBorder="1" applyFont="1"/>
    <xf borderId="43" fillId="0" fontId="2" numFmtId="0" xfId="0" applyAlignment="1" applyBorder="1" applyFont="1">
      <alignment readingOrder="0"/>
    </xf>
    <xf borderId="48" fillId="8" fontId="2" numFmtId="0" xfId="0" applyAlignment="1" applyBorder="1" applyFont="1">
      <alignment horizontal="center" readingOrder="0"/>
    </xf>
    <xf borderId="49" fillId="4" fontId="2" numFmtId="0" xfId="0" applyAlignment="1" applyBorder="1" applyFont="1">
      <alignment horizontal="center" readingOrder="0"/>
    </xf>
    <xf borderId="63" fillId="0" fontId="3" numFmtId="0" xfId="0" applyBorder="1" applyFont="1"/>
    <xf borderId="34" fillId="0" fontId="2" numFmtId="164" xfId="0" applyAlignment="1" applyBorder="1" applyFont="1" applyNumberFormat="1">
      <alignment horizontal="center" readingOrder="0" vertical="center"/>
    </xf>
    <xf borderId="36" fillId="0" fontId="2" numFmtId="164" xfId="0" applyAlignment="1" applyBorder="1" applyFont="1" applyNumberFormat="1">
      <alignment horizontal="center" vertical="center"/>
    </xf>
    <xf borderId="0" fillId="0" fontId="5" numFmtId="0" xfId="0" applyAlignment="1" applyFont="1">
      <alignment vertical="bottom"/>
    </xf>
    <xf borderId="0" fillId="0" fontId="5" numFmtId="0" xfId="0" applyAlignment="1" applyFont="1">
      <alignment horizontal="right" vertical="bottom"/>
    </xf>
    <xf borderId="52" fillId="0" fontId="2" numFmtId="164" xfId="0" applyAlignment="1" applyBorder="1" applyFont="1" applyNumberFormat="1">
      <alignment horizontal="center" readingOrder="0" vertical="center"/>
    </xf>
    <xf borderId="46" fillId="0" fontId="2" numFmtId="164" xfId="0" applyAlignment="1" applyBorder="1" applyFont="1" applyNumberFormat="1">
      <alignment horizontal="center" vertical="center"/>
    </xf>
    <xf borderId="52" fillId="0" fontId="2" numFmtId="164" xfId="0" applyAlignment="1" applyBorder="1" applyFont="1" applyNumberFormat="1">
      <alignment horizontal="center" readingOrder="0"/>
    </xf>
    <xf borderId="46" fillId="0" fontId="2" numFmtId="164" xfId="0" applyAlignment="1" applyBorder="1" applyFont="1" applyNumberFormat="1">
      <alignment horizontal="center"/>
    </xf>
    <xf borderId="0" fillId="0" fontId="2" numFmtId="0" xfId="0" applyAlignment="1" applyFont="1">
      <alignment horizontal="right" readingOrder="0"/>
    </xf>
    <xf borderId="27" fillId="14" fontId="2" numFmtId="164" xfId="0" applyAlignment="1" applyBorder="1" applyFont="1" applyNumberFormat="1">
      <alignment horizontal="center"/>
    </xf>
    <xf borderId="28" fillId="14" fontId="2" numFmtId="164" xfId="0" applyAlignment="1" applyBorder="1" applyFont="1" applyNumberFormat="1">
      <alignment horizontal="center"/>
    </xf>
    <xf borderId="46" fillId="0" fontId="2" numFmtId="0" xfId="0" applyAlignment="1" applyBorder="1" applyFont="1">
      <alignment horizontal="center"/>
    </xf>
    <xf borderId="61" fillId="14" fontId="2" numFmtId="0" xfId="0" applyAlignment="1" applyBorder="1" applyFont="1">
      <alignment horizontal="center" readingOrder="0"/>
    </xf>
    <xf borderId="63" fillId="14" fontId="2" numFmtId="0" xfId="0" applyAlignment="1" applyBorder="1" applyFont="1">
      <alignment horizontal="center" readingOrder="0"/>
    </xf>
    <xf borderId="27" fillId="20" fontId="2" numFmtId="164" xfId="0" applyAlignment="1" applyBorder="1" applyFill="1" applyFont="1" applyNumberFormat="1">
      <alignment horizontal="center"/>
    </xf>
    <xf borderId="27" fillId="20" fontId="2" numFmtId="166" xfId="0" applyAlignment="1" applyBorder="1" applyFont="1" applyNumberFormat="1">
      <alignment horizontal="center"/>
    </xf>
    <xf borderId="28" fillId="20" fontId="2" numFmtId="0" xfId="0" applyAlignment="1" applyBorder="1" applyFont="1">
      <alignment readingOrder="0"/>
    </xf>
    <xf borderId="27" fillId="5" fontId="2" numFmtId="166" xfId="0" applyAlignment="1" applyBorder="1" applyFont="1" applyNumberFormat="1">
      <alignment horizontal="center"/>
    </xf>
    <xf borderId="28" fillId="5" fontId="2" numFmtId="0" xfId="0" applyAlignment="1" applyBorder="1" applyFont="1">
      <alignment readingOrder="0"/>
    </xf>
    <xf borderId="0" fillId="0" fontId="2" numFmtId="166" xfId="0" applyAlignment="1" applyFont="1" applyNumberFormat="1">
      <alignment horizontal="center"/>
    </xf>
    <xf borderId="69" fillId="0" fontId="2" numFmtId="164" xfId="0" applyBorder="1" applyFont="1" applyNumberFormat="1"/>
    <xf borderId="70" fillId="0" fontId="2" numFmtId="164" xfId="0" applyBorder="1" applyFont="1" applyNumberFormat="1"/>
    <xf borderId="71" fillId="21" fontId="2" numFmtId="0" xfId="0" applyAlignment="1" applyBorder="1" applyFill="1" applyFont="1">
      <alignment readingOrder="0"/>
    </xf>
    <xf borderId="72" fillId="12" fontId="2" numFmtId="0" xfId="0" applyBorder="1" applyFont="1"/>
    <xf borderId="0" fillId="11" fontId="2" numFmtId="0" xfId="0" applyAlignment="1" applyFont="1">
      <alignment horizontal="center" readingOrder="0" vertical="center"/>
    </xf>
    <xf borderId="73" fillId="11" fontId="2" numFmtId="0" xfId="0" applyAlignment="1" applyBorder="1" applyFont="1">
      <alignment horizontal="center" readingOrder="0"/>
    </xf>
    <xf borderId="74" fillId="0" fontId="3" numFmtId="0" xfId="0" applyBorder="1" applyFont="1"/>
    <xf borderId="47" fillId="0" fontId="2" numFmtId="0" xfId="0" applyAlignment="1" applyBorder="1" applyFont="1">
      <alignment readingOrder="0"/>
    </xf>
    <xf borderId="47" fillId="10" fontId="2" numFmtId="0" xfId="0" applyAlignment="1" applyBorder="1" applyFont="1">
      <alignment readingOrder="0"/>
    </xf>
    <xf borderId="0" fillId="0" fontId="2" numFmtId="164" xfId="0" applyFont="1" applyNumberFormat="1"/>
    <xf borderId="47" fillId="0" fontId="2" numFmtId="164" xfId="0" applyBorder="1" applyFont="1" applyNumberFormat="1"/>
    <xf borderId="47" fillId="0" fontId="2" numFmtId="0" xfId="0" applyBorder="1" applyFont="1"/>
    <xf borderId="75" fillId="0" fontId="2" numFmtId="0" xfId="0" applyBorder="1" applyFont="1"/>
    <xf borderId="47" fillId="10" fontId="2" numFmtId="164" xfId="0" applyAlignment="1" applyBorder="1" applyFont="1" applyNumberFormat="1">
      <alignment readingOrder="0"/>
    </xf>
    <xf borderId="0" fillId="0" fontId="2" numFmtId="0" xfId="0" applyAlignment="1" applyFont="1">
      <alignment horizontal="left" readingOrder="0" shrinkToFit="0" vertical="center" wrapText="1"/>
    </xf>
    <xf borderId="0" fillId="20" fontId="2" numFmtId="164" xfId="0" applyAlignment="1" applyFont="1" applyNumberFormat="1">
      <alignment readingOrder="0" shrinkToFit="0" vertical="center" wrapText="0"/>
    </xf>
    <xf borderId="0" fillId="20" fontId="2" numFmtId="0" xfId="0" applyAlignment="1" applyFont="1">
      <alignment readingOrder="0" shrinkToFit="0" vertical="center" wrapText="0"/>
    </xf>
    <xf borderId="0" fillId="20" fontId="2" numFmtId="0" xfId="0" applyAlignment="1" applyFont="1">
      <alignment shrinkToFit="0" vertical="center" wrapText="0"/>
    </xf>
    <xf borderId="0" fillId="20" fontId="2" numFmtId="0" xfId="0" applyAlignment="1" applyFont="1">
      <alignment shrinkToFit="0" vertical="center" wrapText="0"/>
    </xf>
    <xf borderId="0" fillId="0" fontId="2" numFmtId="167" xfId="0" applyAlignment="1" applyFont="1" applyNumberFormat="1">
      <alignment readingOrder="0" shrinkToFit="0" vertical="center" wrapText="0"/>
    </xf>
    <xf borderId="76" fillId="22" fontId="8" numFmtId="164" xfId="0" applyAlignment="1" applyBorder="1" applyFill="1" applyFont="1" applyNumberFormat="1">
      <alignment horizontal="right" readingOrder="0" shrinkToFit="0" vertical="center" wrapText="0"/>
    </xf>
    <xf borderId="77" fillId="22" fontId="9" numFmtId="0" xfId="0" applyAlignment="1" applyBorder="1" applyFont="1">
      <alignment readingOrder="0" shrinkToFit="0" vertical="center" wrapText="0"/>
    </xf>
    <xf borderId="77" fillId="22" fontId="10" numFmtId="0" xfId="0" applyAlignment="1" applyBorder="1" applyFont="1">
      <alignment readingOrder="0" shrinkToFit="0" vertical="center" wrapText="0"/>
    </xf>
    <xf borderId="77" fillId="22" fontId="8" numFmtId="0" xfId="0" applyAlignment="1" applyBorder="1" applyFont="1">
      <alignment readingOrder="0" shrinkToFit="0" vertical="center" wrapText="0"/>
    </xf>
    <xf borderId="78" fillId="22" fontId="8" numFmtId="167" xfId="0" applyAlignment="1" applyBorder="1" applyFont="1" applyNumberFormat="1">
      <alignment horizontal="right" readingOrder="0" shrinkToFit="0" vertical="center" wrapText="0"/>
    </xf>
    <xf borderId="0" fillId="20" fontId="2" numFmtId="0" xfId="0" applyAlignment="1" applyFont="1">
      <alignment shrinkToFit="0" vertical="center" wrapText="0"/>
    </xf>
    <xf borderId="0" fillId="20" fontId="2" numFmtId="0" xfId="0" applyAlignment="1" applyFont="1">
      <alignment readingOrder="0" shrinkToFit="0" vertical="center" wrapText="0"/>
    </xf>
    <xf borderId="0" fillId="20" fontId="2" numFmtId="0" xfId="0" applyAlignment="1" applyFont="1">
      <alignment readingOrder="0" shrinkToFit="0" vertical="center" wrapText="0"/>
    </xf>
    <xf borderId="0" fillId="2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0"/>
    </xf>
    <xf borderId="0" fillId="0" fontId="2" numFmtId="0" xfId="0" applyAlignment="1" applyFont="1">
      <alignment readingOrder="0" shrinkToFit="0" vertical="center" wrapText="0"/>
    </xf>
    <xf borderId="0" fillId="14"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167" xfId="0" applyAlignment="1" applyFont="1" applyNumberFormat="1">
      <alignment readingOrder="0" shrinkToFit="0" vertical="center" wrapText="0"/>
    </xf>
    <xf borderId="0" fillId="0" fontId="2" numFmtId="164" xfId="0" applyAlignment="1" applyFont="1" applyNumberFormat="1">
      <alignment shrinkToFit="0" vertical="center" wrapText="0"/>
    </xf>
    <xf borderId="0" fillId="0" fontId="2" numFmtId="0" xfId="0" applyAlignment="1" applyFont="1">
      <alignment shrinkToFit="0" vertical="center" wrapText="0"/>
    </xf>
    <xf borderId="0" fillId="0" fontId="2" numFmtId="167" xfId="0" applyAlignment="1" applyFont="1" applyNumberFormat="1">
      <alignment shrinkToFit="0" vertical="center" wrapText="0"/>
    </xf>
    <xf borderId="0" fillId="0" fontId="11" numFmtId="0" xfId="0" applyAlignment="1" applyFont="1">
      <alignment horizontal="center" readingOrder="0" shrinkToFit="0" vertical="center" wrapText="1"/>
    </xf>
    <xf borderId="0" fillId="0" fontId="2" numFmtId="167" xfId="0" applyFont="1" applyNumberFormat="1"/>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11" numFmtId="167" xfId="0" applyAlignment="1" applyFont="1" applyNumberFormat="1">
      <alignment horizontal="right" readingOrder="0" shrinkToFit="0" vertical="center" wrapText="0"/>
    </xf>
    <xf borderId="0" fillId="0" fontId="12" numFmtId="0" xfId="0" applyAlignment="1" applyFont="1">
      <alignment vertical="bottom"/>
    </xf>
    <xf borderId="0" fillId="0" fontId="12" numFmtId="0" xfId="0" applyAlignment="1" applyFont="1">
      <alignment horizontal="right" vertical="bottom"/>
    </xf>
    <xf borderId="79" fillId="22" fontId="8" numFmtId="164" xfId="0" applyAlignment="1" applyBorder="1" applyFont="1" applyNumberFormat="1">
      <alignment shrinkToFit="0" vertical="center" wrapText="0"/>
    </xf>
    <xf borderId="80" fillId="22" fontId="13" numFmtId="0" xfId="0" applyAlignment="1" applyBorder="1" applyFont="1">
      <alignment shrinkToFit="0" vertical="center" wrapText="0"/>
    </xf>
    <xf borderId="80" fillId="22" fontId="8" numFmtId="0" xfId="0" applyAlignment="1" applyBorder="1" applyFont="1">
      <alignment shrinkToFit="0" vertical="center" wrapText="0"/>
    </xf>
    <xf borderId="80" fillId="22" fontId="8" numFmtId="0" xfId="0" applyAlignment="1" applyBorder="1" applyFont="1">
      <alignment shrinkToFit="0" vertical="center" wrapText="0"/>
    </xf>
    <xf borderId="81" fillId="0" fontId="2" numFmtId="164" xfId="0" applyAlignment="1" applyBorder="1" applyFont="1" applyNumberFormat="1">
      <alignment readingOrder="0" shrinkToFit="0" vertical="center" wrapText="0"/>
    </xf>
    <xf borderId="81" fillId="0" fontId="2" numFmtId="0" xfId="0" applyAlignment="1" applyBorder="1" applyFont="1">
      <alignment readingOrder="0" shrinkToFit="0" vertical="center" wrapText="0"/>
    </xf>
    <xf borderId="81" fillId="0" fontId="2" numFmtId="0" xfId="0" applyAlignment="1" applyBorder="1" applyFont="1">
      <alignment readingOrder="0" shrinkToFit="0" vertical="center" wrapText="0"/>
    </xf>
    <xf borderId="81" fillId="0" fontId="2" numFmtId="0" xfId="0" applyAlignment="1" applyBorder="1" applyFont="1">
      <alignment readingOrder="0" shrinkToFit="0" vertical="center" wrapText="0"/>
    </xf>
    <xf borderId="81" fillId="0" fontId="11" numFmtId="167" xfId="0" applyAlignment="1" applyBorder="1" applyFont="1" applyNumberFormat="1">
      <alignment horizontal="right" readingOrder="0" shrinkToFit="0" vertical="center" wrapText="0"/>
    </xf>
    <xf borderId="79" fillId="22" fontId="8" numFmtId="164" xfId="0" applyAlignment="1" applyBorder="1" applyFont="1" applyNumberFormat="1">
      <alignment horizontal="right" shrinkToFit="0" vertical="center" wrapText="0"/>
    </xf>
    <xf borderId="80" fillId="22" fontId="14" numFmtId="0" xfId="0" applyAlignment="1" applyBorder="1" applyFont="1">
      <alignment shrinkToFit="0" vertical="center" wrapText="0"/>
    </xf>
    <xf borderId="82" fillId="22" fontId="15" numFmtId="167" xfId="0" applyAlignment="1" applyBorder="1" applyFont="1" applyNumberFormat="1">
      <alignment horizontal="right" shrinkToFit="0" vertical="center" wrapText="0"/>
    </xf>
    <xf borderId="0" fillId="22" fontId="8" numFmtId="164" xfId="0" applyAlignment="1" applyFont="1" applyNumberFormat="1">
      <alignment horizontal="right" shrinkToFit="0" vertical="center" wrapText="0"/>
    </xf>
    <xf borderId="0" fillId="22" fontId="16" numFmtId="0" xfId="0" applyAlignment="1" applyFont="1">
      <alignment shrinkToFit="0" vertical="center" wrapText="0"/>
    </xf>
    <xf borderId="0" fillId="22" fontId="14" numFmtId="0" xfId="0" applyAlignment="1" applyFont="1">
      <alignment shrinkToFit="0" vertical="center" wrapText="0"/>
    </xf>
    <xf borderId="0" fillId="22" fontId="8" numFmtId="0" xfId="0" applyAlignment="1" applyFont="1">
      <alignment shrinkToFit="0" vertical="center" wrapText="0"/>
    </xf>
    <xf borderId="0" fillId="22" fontId="15" numFmtId="167" xfId="0" applyAlignment="1" applyFont="1" applyNumberFormat="1">
      <alignment horizontal="right" shrinkToFit="0" vertical="center" wrapText="0"/>
    </xf>
    <xf borderId="83" fillId="0" fontId="2" numFmtId="164" xfId="0" applyAlignment="1" applyBorder="1" applyFont="1" applyNumberFormat="1">
      <alignment readingOrder="0" shrinkToFit="0" vertical="center" wrapText="0"/>
    </xf>
    <xf borderId="84" fillId="0" fontId="2" numFmtId="0" xfId="0" applyAlignment="1" applyBorder="1" applyFont="1">
      <alignment readingOrder="0" shrinkToFit="0" vertical="center" wrapText="0"/>
    </xf>
    <xf borderId="84" fillId="0" fontId="2" numFmtId="0" xfId="0" applyAlignment="1" applyBorder="1" applyFont="1">
      <alignment readingOrder="0" shrinkToFit="0" vertical="center" wrapText="0"/>
    </xf>
    <xf borderId="84" fillId="0" fontId="2" numFmtId="0" xfId="0" applyAlignment="1" applyBorder="1" applyFont="1">
      <alignment readingOrder="0" shrinkToFit="0" vertical="center" wrapText="0"/>
    </xf>
    <xf borderId="85" fillId="0" fontId="11" numFmtId="167" xfId="0" applyAlignment="1" applyBorder="1" applyFont="1" applyNumberFormat="1">
      <alignment horizontal="right" readingOrder="0" shrinkToFit="0" vertical="center" wrapText="0"/>
    </xf>
    <xf borderId="79" fillId="23" fontId="8" numFmtId="164" xfId="0" applyAlignment="1" applyBorder="1" applyFill="1" applyFont="1" applyNumberFormat="1">
      <alignment horizontal="right" shrinkToFit="0" vertical="center" wrapText="0"/>
    </xf>
    <xf borderId="80" fillId="23" fontId="16" numFmtId="0" xfId="0" applyAlignment="1" applyBorder="1" applyFont="1">
      <alignment shrinkToFit="0" vertical="center" wrapText="0"/>
    </xf>
    <xf borderId="80" fillId="23" fontId="14" numFmtId="0" xfId="0" applyAlignment="1" applyBorder="1" applyFont="1">
      <alignment shrinkToFit="0" vertical="center" wrapText="0"/>
    </xf>
    <xf borderId="80" fillId="23" fontId="8" numFmtId="0" xfId="0" applyAlignment="1" applyBorder="1" applyFont="1">
      <alignment shrinkToFit="0" vertical="center" wrapText="0"/>
    </xf>
    <xf borderId="82" fillId="23" fontId="15" numFmtId="167" xfId="0" applyAlignment="1" applyBorder="1" applyFont="1" applyNumberFormat="1">
      <alignment horizontal="right" shrinkToFit="0" vertical="center" wrapText="0"/>
    </xf>
    <xf borderId="0" fillId="0" fontId="2" numFmtId="0" xfId="0" applyAlignment="1" applyFont="1">
      <alignment readingOrder="0" shrinkToFit="0" vertical="center" wrapText="0"/>
    </xf>
    <xf borderId="80" fillId="22" fontId="16" numFmtId="0" xfId="0" applyAlignment="1" applyBorder="1" applyFont="1">
      <alignment shrinkToFit="0" vertical="center" wrapText="0"/>
    </xf>
    <xf borderId="80" fillId="22" fontId="17" numFmtId="0" xfId="0" applyAlignment="1" applyBorder="1" applyFont="1">
      <alignment shrinkToFit="0" vertical="center" wrapText="0"/>
    </xf>
    <xf borderId="80" fillId="22" fontId="5" numFmtId="0" xfId="0" applyAlignment="1" applyBorder="1" applyFont="1">
      <alignment shrinkToFit="0" vertical="center" wrapText="0"/>
    </xf>
    <xf borderId="0" fillId="0" fontId="11" numFmtId="0" xfId="0" applyAlignment="1" applyFont="1">
      <alignment horizontal="right" readingOrder="0" shrinkToFit="0" vertical="center" wrapText="0"/>
    </xf>
    <xf borderId="0" fillId="0" fontId="11" numFmtId="167" xfId="0" applyAlignment="1" applyFont="1" applyNumberFormat="1">
      <alignment horizontal="right" shrinkToFit="0" vertical="center" wrapText="0"/>
    </xf>
    <xf borderId="0" fillId="20" fontId="2" numFmtId="0" xfId="0" applyAlignment="1" applyFont="1">
      <alignment readingOrder="0" shrinkToFit="0" vertical="center" wrapText="0"/>
    </xf>
    <xf borderId="0" fillId="0" fontId="2" numFmtId="168" xfId="0" applyAlignment="1" applyFont="1" applyNumberFormat="1">
      <alignment readingOrder="0" shrinkToFit="0" vertical="center" wrapText="0"/>
    </xf>
    <xf borderId="47" fillId="0" fontId="2" numFmtId="164" xfId="0" applyAlignment="1" applyBorder="1" applyFont="1" applyNumberFormat="1">
      <alignment horizontal="center" readingOrder="0" shrinkToFit="0" vertical="center" wrapText="0"/>
    </xf>
    <xf borderId="0" fillId="24" fontId="18" numFmtId="4" xfId="0" applyAlignment="1" applyFill="1" applyFont="1" applyNumberFormat="1">
      <alignment readingOrder="0" shrinkToFit="0" vertical="center" wrapText="0"/>
    </xf>
    <xf borderId="0" fillId="0" fontId="2" numFmtId="164" xfId="0" applyFont="1" applyNumberFormat="1"/>
    <xf borderId="0" fillId="0" fontId="2" numFmtId="0" xfId="0" applyAlignment="1" applyFont="1">
      <alignment readingOrder="0" shrinkToFit="0" vertical="center" wrapText="0"/>
    </xf>
    <xf borderId="0" fillId="0" fontId="2" numFmtId="169" xfId="0" applyAlignment="1" applyFont="1" applyNumberFormat="1">
      <alignment readingOrder="0" shrinkToFit="0" vertical="center" wrapText="0"/>
    </xf>
    <xf borderId="0" fillId="0" fontId="4" numFmtId="0" xfId="0" applyAlignment="1" applyFont="1">
      <alignment horizontal="center" readingOrder="0"/>
    </xf>
    <xf borderId="0" fillId="0" fontId="2" numFmtId="0" xfId="0" applyFont="1"/>
    <xf borderId="0" fillId="0" fontId="2" numFmtId="170" xfId="0" applyFont="1" applyNumberFormat="1"/>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9B3642"/>
          <bgColor rgb="FF9B3642"/>
        </patternFill>
      </fill>
      <border/>
    </dxf>
  </dxfs>
  <tableStyles count="8">
    <tableStyle count="4" pivot="0" name="INGRESOS-style">
      <tableStyleElement dxfId="1" type="headerRow"/>
      <tableStyleElement dxfId="2" type="firstRowStripe"/>
      <tableStyleElement dxfId="3" type="secondRowStripe"/>
      <tableStyleElement dxfId="4" size="0" type="wholeTable"/>
    </tableStyle>
    <tableStyle count="4" pivot="0" name="INGRESOS-style 2">
      <tableStyleElement dxfId="5" type="headerRow"/>
      <tableStyleElement dxfId="2" type="firstRowStripe"/>
      <tableStyleElement dxfId="3" type="secondRowStripe"/>
      <tableStyleElement dxfId="4" size="0" type="wholeTable"/>
    </tableStyle>
    <tableStyle count="4" pivot="0" name="GASTOS-style">
      <tableStyleElement dxfId="1" type="headerRow"/>
      <tableStyleElement dxfId="2" type="firstRowStripe"/>
      <tableStyleElement dxfId="3" type="secondRowStripe"/>
      <tableStyleElement dxfId="4" size="0" type="wholeTable"/>
    </tableStyle>
    <tableStyle count="4" pivot="0" name="GASTOS-style 2">
      <tableStyleElement dxfId="5" type="headerRow"/>
      <tableStyleElement dxfId="2" type="firstRowStripe"/>
      <tableStyleElement dxfId="3" type="secondRowStripe"/>
      <tableStyleElement dxfId="4" size="0" type="wholeTable"/>
    </tableStyle>
    <tableStyle count="4" pivot="0" name="TRANSFERENCIA-style">
      <tableStyleElement dxfId="1" type="headerRow"/>
      <tableStyleElement dxfId="2" type="firstRowStripe"/>
      <tableStyleElement dxfId="3" type="secondRowStripe"/>
      <tableStyleElement dxfId="4" size="0" type="wholeTable"/>
    </tableStyle>
    <tableStyle count="4" pivot="0" name="TRANSFERENCIA-style 2">
      <tableStyleElement dxfId="5" type="headerRow"/>
      <tableStyleElement dxfId="2" type="firstRowStripe"/>
      <tableStyleElement dxfId="3" type="secondRowStripe"/>
      <tableStyleElement dxfId="4" size="0" type="wholeTable"/>
    </tableStyle>
    <tableStyle count="4" pivot="0" name="VENTA DE DOLARES-style">
      <tableStyleElement dxfId="1" type="headerRow"/>
      <tableStyleElement dxfId="2" type="firstRowStripe"/>
      <tableStyleElement dxfId="3" type="secondRowStripe"/>
      <tableStyleElement dxfId="4" size="0" type="wholeTable"/>
    </tableStyle>
    <tableStyle count="4" pivot="0" name="COMPRA DE DOLAR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2.xml"/><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Gastos </a:t>
            </a:r>
          </a:p>
        </c:rich>
      </c:tx>
      <c:overlay val="0"/>
    </c:title>
    <c:view3D>
      <c:rotX val="15"/>
      <c:rotY val="20"/>
      <c:depthPercent val="100"/>
      <c:rAngAx val="1"/>
    </c:view3D>
    <c:plotArea>
      <c:layout/>
      <c:bar3DChart>
        <c:barDir val="col"/>
        <c:grouping val="clustered"/>
        <c:ser>
          <c:idx val="0"/>
          <c:order val="0"/>
          <c:tx>
            <c:strRef>
              <c:f>'Hoja 4'!$J$1</c:f>
            </c:strRef>
          </c:tx>
          <c:spPr>
            <a:solidFill>
              <a:schemeClr val="accent1"/>
            </a:solidFill>
            <a:ln cmpd="sng">
              <a:solidFill>
                <a:srgbClr val="000000"/>
              </a:solidFill>
              <a:prstDash val="solid"/>
            </a:ln>
          </c:spPr>
          <c:dPt>
            <c:idx val="0"/>
          </c:dPt>
          <c:dPt>
            <c:idx val="3"/>
          </c:dPt>
          <c:dLbls>
            <c:numFmt formatCode="General" sourceLinked="1"/>
            <c:txPr>
              <a:bodyPr/>
              <a:lstStyle/>
              <a:p>
                <a:pPr lvl="0">
                  <a:defRPr b="1">
                    <a:solidFill>
                      <a:srgbClr val="EA4335"/>
                    </a:solidFill>
                    <a:latin typeface="Roboto"/>
                  </a:defRPr>
                </a:pPr>
              </a:p>
            </c:txPr>
            <c:showLegendKey val="0"/>
            <c:showVal val="1"/>
            <c:showCatName val="0"/>
            <c:showSerName val="0"/>
            <c:showPercent val="0"/>
            <c:showBubbleSize val="0"/>
          </c:dLbls>
          <c:cat>
            <c:strRef>
              <c:f>'Hoja 4'!$I$2:$I$2000</c:f>
            </c:strRef>
          </c:cat>
          <c:val>
            <c:numRef>
              <c:f>'Hoja 4'!$J$2:$J$2000</c:f>
              <c:numCache/>
            </c:numRef>
          </c:val>
        </c:ser>
        <c:axId val="2103017095"/>
        <c:axId val="471889647"/>
      </c:bar3DChart>
      <c:catAx>
        <c:axId val="21030170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471889647"/>
      </c:catAx>
      <c:valAx>
        <c:axId val="4718896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0301709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Gastos </a:t>
            </a:r>
          </a:p>
        </c:rich>
      </c:tx>
      <c:overlay val="0"/>
    </c:title>
    <c:view3D>
      <c:rotX val="15"/>
      <c:rotY val="20"/>
      <c:depthPercent val="100"/>
      <c:rAngAx val="1"/>
    </c:view3D>
    <c:plotArea>
      <c:layout/>
      <c:bar3DChart>
        <c:barDir val="col"/>
        <c:grouping val="clustered"/>
        <c:ser>
          <c:idx val="0"/>
          <c:order val="0"/>
          <c:tx>
            <c:strRef>
              <c:f>'Hoja 4'!$J$1</c:f>
            </c:strRef>
          </c:tx>
          <c:spPr>
            <a:solidFill>
              <a:schemeClr val="accent1"/>
            </a:solidFill>
            <a:ln cmpd="sng">
              <a:solidFill>
                <a:srgbClr val="000000"/>
              </a:solidFill>
            </a:ln>
          </c:spPr>
          <c:dLbls>
            <c:numFmt formatCode="General" sourceLinked="1"/>
            <c:txPr>
              <a:bodyPr/>
              <a:lstStyle/>
              <a:p>
                <a:pPr lvl="0">
                  <a:defRPr b="1">
                    <a:solidFill>
                      <a:srgbClr val="EA4335"/>
                    </a:solidFill>
                    <a:latin typeface="Roboto"/>
                  </a:defRPr>
                </a:pPr>
              </a:p>
            </c:txPr>
            <c:showLegendKey val="0"/>
            <c:showVal val="1"/>
            <c:showCatName val="0"/>
            <c:showSerName val="0"/>
            <c:showPercent val="0"/>
            <c:showBubbleSize val="0"/>
          </c:dLbls>
          <c:cat>
            <c:strRef>
              <c:f>'Hoja 4'!$I$2:$I$2000</c:f>
            </c:strRef>
          </c:cat>
          <c:val>
            <c:numRef>
              <c:f>'Hoja 4'!$J$2:$J$2000</c:f>
              <c:numCache/>
            </c:numRef>
          </c:val>
        </c:ser>
        <c:axId val="518927457"/>
        <c:axId val="1775169155"/>
      </c:bar3DChart>
      <c:catAx>
        <c:axId val="5189274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775169155"/>
      </c:catAx>
      <c:valAx>
        <c:axId val="17751691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1892745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INGRESOS</a:t>
            </a:r>
          </a:p>
        </c:rich>
      </c:tx>
      <c:overlay val="0"/>
    </c:title>
    <c:view3D>
      <c:rotX val="15"/>
      <c:rotY val="20"/>
      <c:depthPercent val="100"/>
      <c:rAngAx val="1"/>
    </c:view3D>
    <c:plotArea>
      <c:layout/>
      <c:bar3DChart>
        <c:barDir val="col"/>
        <c:grouping val="clustered"/>
        <c:ser>
          <c:idx val="0"/>
          <c:order val="0"/>
          <c:tx>
            <c:strRef>
              <c:f>'Hoja 4'!$W$1</c:f>
            </c:strRef>
          </c:tx>
          <c:spPr>
            <a:solidFill>
              <a:schemeClr val="accent1"/>
            </a:solidFill>
            <a:ln cmpd="sng">
              <a:solidFill>
                <a:srgbClr val="000000"/>
              </a:solidFill>
            </a:ln>
          </c:spPr>
          <c:dLbls>
            <c:numFmt formatCode="General" sourceLinked="1"/>
            <c:txPr>
              <a:bodyPr/>
              <a:lstStyle/>
              <a:p>
                <a:pPr lvl="0">
                  <a:defRPr b="1">
                    <a:solidFill>
                      <a:srgbClr val="EA4335"/>
                    </a:solidFill>
                    <a:latin typeface="Roboto"/>
                  </a:defRPr>
                </a:pPr>
              </a:p>
            </c:txPr>
            <c:showLegendKey val="0"/>
            <c:showVal val="1"/>
            <c:showCatName val="0"/>
            <c:showSerName val="0"/>
            <c:showPercent val="0"/>
            <c:showBubbleSize val="0"/>
          </c:dLbls>
          <c:cat>
            <c:strRef>
              <c:f>'Hoja 4'!$V$2:$V$2000</c:f>
            </c:strRef>
          </c:cat>
          <c:val>
            <c:numRef>
              <c:f>'Hoja 4'!$W$2:$W$2000</c:f>
              <c:numCache/>
            </c:numRef>
          </c:val>
        </c:ser>
        <c:axId val="2019657111"/>
        <c:axId val="860299507"/>
      </c:bar3DChart>
      <c:catAx>
        <c:axId val="20196571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860299507"/>
      </c:catAx>
      <c:valAx>
        <c:axId val="8602995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19657111"/>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0</xdr:row>
      <xdr:rowOff>0</xdr:rowOff>
    </xdr:from>
    <xdr:ext cx="1409700" cy="409575"/>
    <xdr:sp>
      <xdr:nvSpPr>
        <xdr:cNvPr id="3" name="Shape 3"/>
        <xdr:cNvSpPr/>
      </xdr:nvSpPr>
      <xdr:spPr>
        <a:xfrm>
          <a:off x="2336750" y="641550"/>
          <a:ext cx="1473300" cy="405900"/>
        </a:xfrm>
        <a:prstGeom prst="flowChartAlternateProcess">
          <a:avLst/>
        </a:prstGeom>
        <a:solidFill>
          <a:srgbClr val="38761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latin typeface="Impact"/>
              <a:ea typeface="Impact"/>
              <a:cs typeface="Impact"/>
              <a:sym typeface="Impact"/>
            </a:rPr>
            <a:t>PROCESAR</a:t>
          </a:r>
          <a:endParaRPr sz="1400">
            <a:latin typeface="Impact"/>
            <a:ea typeface="Impact"/>
            <a:cs typeface="Impact"/>
            <a:sym typeface="Impact"/>
          </a:endParaRPr>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171450</xdr:colOff>
      <xdr:row>4</xdr:row>
      <xdr:rowOff>133350</xdr:rowOff>
    </xdr:from>
    <xdr:ext cx="6305550" cy="38957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171450</xdr:colOff>
      <xdr:row>2</xdr:row>
      <xdr:rowOff>200025</xdr:rowOff>
    </xdr:from>
    <xdr:ext cx="2857500" cy="2857500"/>
    <mc:AlternateContent>
      <mc:Choice Requires="sle15">
        <xdr:graphicFrame>
          <xdr:nvGraphicFramePr>
            <xdr:cNvPr id="1" name="FECHA DE CREACION - Año-Mes_1"/>
            <xdr:cNvGraphicFramePr/>
          </xdr:nvGraphicFramePr>
          <xdr:xfrm>
            <a:off x="0" y="0"/>
            <a:ext cx="0" cy="0"/>
          </xdr:xfrm>
          <a:graphic>
            <a:graphicData uri="http://schemas.microsoft.com/office/drawing/2010/slicer">
              <x3Unk:slicer name="FECHA DE CREACION - Año-Mes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11</xdr:col>
      <xdr:colOff>57150</xdr:colOff>
      <xdr:row>0</xdr:row>
      <xdr:rowOff>0</xdr:rowOff>
    </xdr:from>
    <xdr:ext cx="1238250" cy="381000"/>
    <xdr:sp>
      <xdr:nvSpPr>
        <xdr:cNvPr id="4" name="Shape 4"/>
        <xdr:cNvSpPr/>
      </xdr:nvSpPr>
      <xdr:spPr>
        <a:xfrm>
          <a:off x="2519475" y="651700"/>
          <a:ext cx="1410900" cy="426300"/>
        </a:xfrm>
        <a:prstGeom prst="flowChartAlternateProcess">
          <a:avLst/>
        </a:prstGeom>
        <a:solidFill>
          <a:srgbClr val="38761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latin typeface="Impact"/>
              <a:ea typeface="Impact"/>
              <a:cs typeface="Impact"/>
              <a:sym typeface="Impact"/>
            </a:rPr>
            <a:t>PROCESAR</a:t>
          </a:r>
          <a:endParaRPr sz="1400">
            <a:latin typeface="Impact"/>
            <a:ea typeface="Impact"/>
            <a:cs typeface="Impact"/>
            <a:sym typeface="Impact"/>
          </a:endParaRPr>
        </a:p>
      </xdr:txBody>
    </xdr:sp>
    <xdr:clientData fLocksWithSheet="0"/>
  </xdr:oneCellAnchor>
  <xdr:oneCellAnchor>
    <xdr:from>
      <xdr:col>3</xdr:col>
      <xdr:colOff>0</xdr:colOff>
      <xdr:row>1</xdr:row>
      <xdr:rowOff>0</xdr:rowOff>
    </xdr:from>
    <xdr:ext cx="190500" cy="200025"/>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28575</xdr:colOff>
      <xdr:row>0</xdr:row>
      <xdr:rowOff>0</xdr:rowOff>
    </xdr:from>
    <xdr:ext cx="1866900" cy="409575"/>
    <xdr:sp>
      <xdr:nvSpPr>
        <xdr:cNvPr id="5" name="Shape 5"/>
        <xdr:cNvSpPr/>
      </xdr:nvSpPr>
      <xdr:spPr>
        <a:xfrm>
          <a:off x="2255550" y="732900"/>
          <a:ext cx="2233200" cy="477000"/>
        </a:xfrm>
        <a:prstGeom prst="flowChartAlternateProcess">
          <a:avLst/>
        </a:prstGeom>
        <a:solidFill>
          <a:srgbClr val="38761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latin typeface="Impact"/>
              <a:ea typeface="Impact"/>
              <a:cs typeface="Impact"/>
              <a:sym typeface="Impact"/>
            </a:rPr>
            <a:t>Procesar Transferencia</a:t>
          </a:r>
          <a:endParaRPr sz="1400">
            <a:latin typeface="Impact"/>
            <a:ea typeface="Impact"/>
            <a:cs typeface="Impact"/>
            <a:sym typeface="Impact"/>
          </a:endParaRPr>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28575</xdr:colOff>
      <xdr:row>1</xdr:row>
      <xdr:rowOff>142875</xdr:rowOff>
    </xdr:from>
    <xdr:ext cx="2247900" cy="495300"/>
    <xdr:sp>
      <xdr:nvSpPr>
        <xdr:cNvPr id="5" name="Shape 5"/>
        <xdr:cNvSpPr/>
      </xdr:nvSpPr>
      <xdr:spPr>
        <a:xfrm>
          <a:off x="2255550" y="732900"/>
          <a:ext cx="2233200" cy="477000"/>
        </a:xfrm>
        <a:prstGeom prst="flowChartAlternateProcess">
          <a:avLst/>
        </a:prstGeom>
        <a:solidFill>
          <a:srgbClr val="38761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latin typeface="Impact"/>
              <a:ea typeface="Impact"/>
              <a:cs typeface="Impact"/>
              <a:sym typeface="Impact"/>
            </a:rPr>
            <a:t>Procesar VENTA</a:t>
          </a:r>
          <a:endParaRPr sz="1400">
            <a:latin typeface="Impact"/>
            <a:ea typeface="Impact"/>
            <a:cs typeface="Impact"/>
            <a:sym typeface="Impact"/>
          </a:endParaRPr>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28575</xdr:colOff>
      <xdr:row>1</xdr:row>
      <xdr:rowOff>142875</xdr:rowOff>
    </xdr:from>
    <xdr:ext cx="2247900" cy="495300"/>
    <xdr:sp>
      <xdr:nvSpPr>
        <xdr:cNvPr id="5" name="Shape 5"/>
        <xdr:cNvSpPr/>
      </xdr:nvSpPr>
      <xdr:spPr>
        <a:xfrm>
          <a:off x="2255550" y="732900"/>
          <a:ext cx="2233200" cy="477000"/>
        </a:xfrm>
        <a:prstGeom prst="flowChartAlternateProcess">
          <a:avLst/>
        </a:prstGeom>
        <a:solidFill>
          <a:srgbClr val="38761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latin typeface="Impact"/>
              <a:ea typeface="Impact"/>
              <a:cs typeface="Impact"/>
              <a:sym typeface="Impact"/>
            </a:rPr>
            <a:t>Procesar Compra</a:t>
          </a:r>
          <a:endParaRPr sz="1400">
            <a:latin typeface="Impact"/>
            <a:ea typeface="Impact"/>
            <a:cs typeface="Impact"/>
            <a:sym typeface="Impact"/>
          </a:endParaRPr>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219075</xdr:colOff>
      <xdr:row>0</xdr:row>
      <xdr:rowOff>0</xdr:rowOff>
    </xdr:from>
    <xdr:ext cx="5715000" cy="3533775"/>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26</xdr:col>
      <xdr:colOff>38100</xdr:colOff>
      <xdr:row>1</xdr:row>
      <xdr:rowOff>0</xdr:rowOff>
    </xdr:from>
    <xdr:ext cx="5715000" cy="3533775"/>
    <xdr:graphicFrame>
      <xdr:nvGraphicFramePr>
        <xdr:cNvPr id="3" name="Chart 3"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10</xdr:col>
      <xdr:colOff>66675</xdr:colOff>
      <xdr:row>0</xdr:row>
      <xdr:rowOff>57150</xdr:rowOff>
    </xdr:from>
    <xdr:ext cx="2857500" cy="2857500"/>
    <mc:AlternateContent>
      <mc:Choice Requires="sle15">
        <xdr:graphicFrame>
          <xdr:nvGraphicFramePr>
            <xdr:cNvPr id="2" name="FECHA DE CREACION - Año-Mes_2"/>
            <xdr:cNvGraphicFramePr/>
          </xdr:nvGraphicFramePr>
          <xdr:xfrm>
            <a:off x="0" y="0"/>
            <a:ext cx="0" cy="0"/>
          </xdr:xfrm>
          <a:graphic>
            <a:graphicData uri="http://schemas.microsoft.com/office/drawing/2010/slicer">
              <x3Unk:slicer name="FECHA DE CREACION - Año-Mes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1015" sheet="GASTOS"/>
  </cacheSource>
  <cacheFields>
    <cacheField name="CANTIDAD" numFmtId="164">
      <sharedItems containsString="0" containsBlank="1" containsNumber="1">
        <n v="300918.65"/>
        <n v="12579.6"/>
        <n v="8000.0"/>
        <n v="55.75"/>
        <n v="31500.0"/>
        <n v="19350.0"/>
        <n v="3299.0"/>
        <n v="2908.0"/>
        <n v="5800.0"/>
        <n v="35.8"/>
        <n v="16000.0"/>
        <n v="1500.0"/>
        <n v="3500.0"/>
        <n v="1900.0"/>
        <n v="1000.0"/>
        <n v="30000.0"/>
        <n v="39250.0"/>
        <n v="5009.0"/>
        <n v="1300.0"/>
        <n v="1800.0"/>
        <n v="15300.0"/>
        <n v="100000.0"/>
        <n v="600.0"/>
        <n v="27150.0"/>
        <n v="431.82"/>
        <n v="6500.0"/>
        <n v="12915.43"/>
        <n v="4000.0"/>
        <n v="301408.59"/>
        <n v="10000.0"/>
        <n v="21500.0"/>
        <n v="26600.0"/>
        <n v="5000.0"/>
        <n v="2000.0"/>
        <n v="17800.0"/>
        <n v="7000.0"/>
        <n v="2600.0"/>
        <n v="1539.0"/>
        <n v="5150.0"/>
        <n v="1850.0"/>
        <n v="50000.0"/>
        <n v="2400.0"/>
        <n v="9045.97"/>
        <n v="2200.0"/>
        <n v="51800.0"/>
        <n v="900.0"/>
        <n v="9899.19"/>
        <n v="5110.0"/>
        <n v="6600.0"/>
        <n v="700.0"/>
        <n v="500.0"/>
        <n v="400.0"/>
        <n v="1400.0"/>
        <n v="1250.0"/>
        <n v="12914.91"/>
        <n v="2300.0"/>
        <n v="1200.0"/>
        <n v="1510.0"/>
        <n v="303627.87"/>
        <n v="5450.0"/>
        <n v="3000.0"/>
        <n v="2700.0"/>
        <n v="55000.0"/>
        <n v="3660.0"/>
        <n v="800.0"/>
        <n v="850.0"/>
        <n v="24000.0"/>
        <n v="1700.0"/>
        <n v="828.65"/>
        <n v="6099.0"/>
        <n v="2320.0"/>
        <n v="10611.63"/>
        <n v="770.0"/>
        <n v="3600.0"/>
        <n v="59.87"/>
        <n v="305319.14"/>
        <n v="63986.5"/>
        <n v="14876.02"/>
        <n v="3570.0"/>
        <n v="1600.0"/>
        <n v="1380.0"/>
        <n v="6800.0"/>
        <n v="3584.0"/>
        <n v="173.0"/>
        <n v="2800.0"/>
        <n v="3300.0"/>
        <n v="4300.0"/>
        <n v="2455.0"/>
        <n v="3100.0"/>
        <n v="4200.0"/>
        <n v="3400.0"/>
        <n v="11580.0"/>
        <n v="6285.0"/>
        <n v="4382.74"/>
        <n v="4380.0"/>
        <n v="3200.0"/>
        <n v="6400.0"/>
        <n v="11100.0"/>
        <n v="3075.0"/>
        <n v="2500.0"/>
        <n v="1740.0"/>
        <n v="10600.0"/>
        <n v="35000.0"/>
        <n v="100.0"/>
        <n v="14000.0"/>
        <n v="21924.55"/>
        <n v="13000.0"/>
        <n v="280.0"/>
        <n v="10204.44"/>
        <n v="15550.0"/>
        <n v="5400.0"/>
        <n v="20000.0"/>
        <n v="23500.0"/>
        <n v="15000.0"/>
        <n v="2190.0"/>
        <n v="3180.82"/>
        <n v="300.0"/>
        <n v="2750.0"/>
        <n v="5500.0"/>
        <n v="123497.62"/>
        <n v="14800.0"/>
        <n v="12000.0"/>
        <n v="11300.0"/>
        <n v="26636.0"/>
        <n v="8600.0"/>
        <n v="6000.0"/>
        <n v="16366.76"/>
        <n v="2817.16"/>
        <n v="1100.0"/>
        <n v="15793.0"/>
        <n v="2409.0"/>
        <n v="26000.0"/>
        <n v="26216.62"/>
        <n v="10553.62"/>
        <n v="7200.0"/>
        <n v="4100.0"/>
        <n v="9742.0"/>
        <n v="52000.0"/>
        <n v="4825.35"/>
        <n v="15600.0"/>
        <n v="9000.0"/>
        <n v="10500.0"/>
        <n v="60000.0"/>
        <n v="55498.0"/>
        <n v="46000.0"/>
        <n v="15621.1"/>
        <n v="21555.0"/>
        <n v="15149.37"/>
        <n v="24442.0"/>
        <n v="6300.0"/>
        <n v="16870.03"/>
        <n v="2970.0"/>
        <n v="5300.0"/>
        <n v="9500.0"/>
        <n v="39000.0"/>
        <n v="19500.0"/>
        <n v="5100.0"/>
        <n v="23000.0"/>
        <n v="24300.0"/>
        <n v="29437.92"/>
        <n v="40000.0"/>
        <n v="9200.0"/>
        <n v="2087.7"/>
        <n v="4820.0"/>
        <n v="11500.0"/>
        <n v="5600.0"/>
        <n v="8720.74"/>
        <n v="14700.0"/>
        <n v="15500.0"/>
        <n v="5250.0"/>
        <n v="14571.0"/>
        <n v="11699.666666666666"/>
        <n v="11257.0"/>
        <n v="17621.66"/>
        <n v="341000.0"/>
        <n v="16066.66"/>
        <n v="1446.27"/>
        <n v="32572.4"/>
        <n v="11000.0"/>
        <n v="29400.0"/>
        <n v="3800.0"/>
        <n v="4050.0"/>
        <n v="7900.0"/>
        <n v="43187.7"/>
        <n v="31.8"/>
        <n v="13700.0"/>
        <n v="13500.0"/>
        <n v="840.0"/>
        <n v="23124.5"/>
        <n v="45000.0"/>
        <n v="6950.0"/>
        <n v="4500.0"/>
        <n v="8100.0"/>
        <n v="3860.0"/>
        <n v="11161.0"/>
        <n v="396457.67"/>
        <n v="2900.0"/>
        <n v="416457.0"/>
        <n v="9400.0"/>
        <n v="7752.15"/>
        <n v="18000.0"/>
        <n v="4880.0"/>
        <n v="6740.0"/>
        <n v="10780.0"/>
        <n v="68608.5"/>
        <n v="657.5"/>
        <n v="980.0"/>
        <n v="3550.0"/>
        <n v="13800.0"/>
        <n v="5700.0"/>
        <n v="14120.3"/>
        <n v="1420.0"/>
        <n v="40500.0"/>
        <n v="150000.0"/>
        <n v="6100.0"/>
        <n v="25000.0"/>
        <n v="3700.0"/>
        <n v="13400.0"/>
        <n v="7400.0"/>
        <n v="8839.0"/>
        <n v="64.51"/>
        <n v="53.2"/>
        <n v="11.2"/>
        <n v="10.0"/>
        <n v="93.23"/>
        <n v="15.0"/>
        <n v="200.0"/>
        <n v="114.01"/>
        <n v="7.88"/>
        <n v="23.62"/>
        <n v="6.26"/>
        <n v="22.0"/>
        <n v="46.01"/>
        <n v="12900.0"/>
        <n v="5.49"/>
        <n v="20.55"/>
        <n v="6.56"/>
        <n v="9.24"/>
        <n v="0.52"/>
        <n v="1.26"/>
        <n v="30.88"/>
        <n v="13.69"/>
        <n v="10.28"/>
        <n v="3.42"/>
        <n v="1.85"/>
        <n v="16530.0"/>
        <n v="146500.0"/>
        <n v="-5.44"/>
        <n v="2821.42"/>
        <n v="2828.57"/>
        <n v="34951.34"/>
        <n v="3.21"/>
        <n v="2.07"/>
        <n v="13.29"/>
        <n v="3.8"/>
        <n v="20.77"/>
        <n v="23.44"/>
        <n v="0.69"/>
        <n v="0.58"/>
        <n v="9.61"/>
        <n v="0.68"/>
        <n v="1.19"/>
        <n v="21292.5"/>
        <n v="17.1"/>
        <n v="9.59"/>
        <n v="1.72"/>
        <n v="13.8675"/>
        <m/>
      </sharedItems>
    </cacheField>
    <cacheField name="CUENTAS" numFmtId="0">
      <sharedItems containsBlank="1">
        <s v="ARS VIRTUAL"/>
        <s v="ARS BILLETERA"/>
        <s v="USD VIRTUAL"/>
        <m/>
      </sharedItems>
    </cacheField>
    <cacheField name="CATEGORIA" numFmtId="0">
      <sharedItems containsBlank="1">
        <s v="ALQUILER"/>
        <s v="INTERNET"/>
        <s v="PELUQUERIA"/>
        <s v="NOSE"/>
        <s v="ROPA"/>
        <s v="GYM"/>
        <s v="ALIMENTACION"/>
        <s v="ARREGLOS"/>
        <s v="Cosas Necesarias"/>
        <s v="BOLUDECES"/>
        <s v="UNI"/>
        <s v="NAFTA"/>
        <s v="TRANSPORTE"/>
        <s v="GASTOS DE LA CASA"/>
        <s v="TARJETA"/>
        <s v="MOTO"/>
        <s v="LIMPIEZA"/>
        <m/>
        <s v="REGALO"/>
        <s v="PRESTAMO"/>
        <s v="SALIDA"/>
        <s v="MASCOTA"/>
        <s v="PERDIDO"/>
        <s v="SALIDA / JUNTADA"/>
        <s v="SALUD"/>
      </sharedItems>
    </cacheField>
    <cacheField name="COMENTARIO" numFmtId="0">
      <sharedItems containsBlank="1">
        <s v=""/>
        <m/>
        <s v="2do pago de Ojotas. de 8500&#10;Lo otro es de mi hno"/>
        <s v="gym"/>
        <s v="Tarta"/>
        <s v="Jugos "/>
        <s v="Pizza"/>
        <s v="Compra de Remera"/>
        <s v="Medialuna"/>
        <s v="Verduras y Frutas"/>
        <s v="Cafe en la Uni"/>
        <s v="Bizcochos"/>
        <s v="Pago de transporte para llevar la moto a Villa Maria"/>
        <s v="Creatina"/>
        <s v="Choclo"/>
        <s v="Tapa de Tarta"/>
        <s v="Curitas"/>
        <s v="Muchas Cosas Perdi la cuenta"/>
        <s v="Arreglo de la Moto"/>
        <s v="No lo estuve Controlando"/>
        <s v="Gastos en Villa Maria"/>
        <s v="Nose de donde salio"/>
        <s v="Facturas"/>
        <s v="Estacionamiento de Uni"/>
        <s v="Pago de Claro"/>
        <s v="Frutaaa"/>
        <s v="PAN"/>
        <s v="Salida con AYE"/>
        <s v="milas"/>
        <s v="Bizcochos "/>
        <s v="noshe"/>
        <s v="Huevos"/>
        <s v="Milanesa"/>
        <s v="Bombas de Crema"/>
        <s v="Salchichas"/>
        <s v="Verduras y Frutas + Otras cosas"/>
        <s v="Panaderia"/>
        <s v="Regalo "/>
        <s v="Empanadas"/>
        <s v="Cafe y medialuna"/>
        <s v="Estacionamiento en XV"/>
        <s v="Milanesas"/>
        <s v="Entrada de Tiago"/>
        <s v="Fiambre"/>
        <s v="VGA A DISPLAY (CONECTOR)"/>
        <s v="Milaneses "/>
        <s v="2 Enchufes"/>
        <s v="Traba y Orrin "/>
        <s v="Goma de Canilla"/>
        <s v="Espejos y Corte de Cadena de la Moto"/>
        <s v="Estacionamiento"/>
        <s v="Pan para Hamburguesas "/>
        <s v="Verduras"/>
        <s v="Gotita y Film"/>
        <s v="Moto, Contrarosca para el Espejo"/>
        <s v="Medialunas Uni"/>
        <s v="Pan y Una Medialuna"/>
        <s v="Tapon y teflon"/>
        <s v="Uber a Terminal"/>
        <s v="2 Pebetes"/>
        <s v="Cafe"/>
        <s v="Pago de Tarjeta: Cama 7 Cuota y Spoty"/>
        <s v="Estacionamieto"/>
        <s v="UBER"/>
        <s v="Fotocopia"/>
        <s v="Bizcochos y Facturas"/>
        <s v="Corte de Cadena"/>
        <s v="Productos para la casa"/>
        <s v="Fotocopias "/>
        <s v="Milas "/>
        <s v="Encendedor"/>
        <s v="Cine con sol &quot;Destino Final&quot;"/>
        <s v="Pegamento para zapatillas"/>
        <s v="huevo"/>
        <s v="tafirol"/>
        <s v="Fotocopiadora"/>
        <s v="Estacionamiento casa ali"/>
        <s v="verduras y fruta"/>
        <s v="impuesto de Binance"/>
        <s v="Cuota 8/10 Cama y 1/3 de OneBlade"/>
        <s v="200 de Jamon Cocido"/>
        <s v="Mofin"/>
        <s v="3 latas de Choclo"/>
        <s v="2 alfajores"/>
        <s v="Pan y factura"/>
        <s v="Queso y Crema"/>
        <s v="Pago entrada Linkin Park"/>
        <s v="Budin"/>
        <s v="Frutas y Verduras"/>
        <s v="Lecha y algo mas"/>
        <s v="Medialunas"/>
        <s v="Salchichas "/>
        <s v="Peaje en la UNI"/>
        <s v="Regalo de camiseta a PAPA"/>
        <s v="Pebetes"/>
        <s v="Juntada con los Pibes"/>
        <s v="Diferencia de Pintura de Casa"/>
        <s v="Cinta"/>
        <s v="LOMO"/>
        <s v="Yerba"/>
        <s v="CAFE CON PAPA"/>
        <s v="tRABA DE CANELLA ROTA DE DEPARTAMENTO"/>
        <s v="Repetidor"/>
        <s v="1/5 Pago de PC"/>
        <s v="-"/>
        <s v="Exfoliante y Cremas"/>
        <s v="Fijador"/>
        <s v="Prestamo de Alquiler a Juli"/>
        <s v="Juntada con los Pibes "/>
        <s v="Salida del sabado a boliche"/>
        <s v="Remera"/>
        <s v="Prestamo a Juli"/>
        <s v="Juntada de Juli para comer"/>
        <s v="Compra de Camara&#10;1/3"/>
        <s v="Pan y Edulcorante"/>
        <s v="Me quede encerrado afuera JAJAJA&#10;Plata de Cadete "/>
        <s v="Faltante para cerrar el mes"/>
        <s v="Liquido de Ojos"/>
        <s v="Perfumero"/>
        <s v="CAFE CON ANTOO"/>
        <s v="Ford Fiesta"/>
        <s v="Tomate con los pibes"/>
        <s v="Entrada a partido de More"/>
        <s v="Moto"/>
        <s v="Comida de Genaro"/>
        <s v="Minecraft"/>
        <s v="asd"/>
        <s v="l"/>
        <s v="s"/>
        <s v="Chicle"/>
        <s v="Buzo"/>
        <s v="Muñequeras"/>
        <s v="Pago de Gym"/>
        <s v="Cacino"/>
        <s v="Pantalon en RETO"/>
        <s v="Crema"/>
        <s v="Budin - Juntada con Chapa"/>
        <s v="Cafe UNI"/>
        <s v="Pago de Adobe Ligh"/>
        <s v="Cine con SOL"/>
        <s v="Caramelos more"/>
        <s v="Pururus y coca CINE"/>
        <s v="Cuota 9/10 Cama"/>
        <s v="Nafta al Auto"/>
        <s v="Desodorante, crema y jamon cocido"/>
        <s v="Asado con los pibes (Genaro)"/>
        <s v="Pinchadura"/>
        <s v="Cumpleaños de hugo, merienda "/>
        <s v="Tapon y pernito de freno de la moto"/>
        <s v="Magnesio para el Gym"/>
        <s v="Masitas salida con los pibes"/>
        <s v="mause Logitech"/>
        <s v="zapatillas"/>
        <s v="Me Culo ADOBE"/>
        <s v="Salida"/>
        <s v="Pasajes a buenos aires"/>
        <s v="Cena con Juli"/>
        <s v="Airsoft"/>
        <s v="Cumple Comida"/>
        <s v="Salida del vernes a boliche"/>
        <s v="GASTOS EN CUMPLEAÑOS"/>
        <s v="vino blanco"/>
        <s v="Minoxidil"/>
        <s v="Crema y Verdura"/>
        <s v="Comida con Juli"/>
        <s v="Pago de Crunchyroll"/>
        <s v="Cerveza de cena con Juli"/>
        <s v="Primera Cuota de Regalo de Sillon mama"/>
        <s v="Youtube Premi"/>
        <s v="Juntada Comida con los pibes"/>
        <s v="Seña de AirSoft"/>
        <s v="Gimnasio 1/2"/>
        <s v="Gimnasio 2/2"/>
        <s v="Comida del Genaro"/>
        <s v="Prestamo a SOL"/>
        <s v="Comida Jamiro"/>
        <s v="."/>
        <s v="Papas"/>
        <s v="Viaje a buenos Aires"/>
        <s v="Devolviendo 5000 del viaje"/>
        <s v="Perfume Para mi t shampoo"/>
        <s v="2 Cuota de Regalo de Sillon mama"/>
        <s v="Pasaje 1/2 Vuelta Buenos Aires"/>
        <s v="Funda de Celu"/>
        <s v="Salida a Chill"/>
        <s v="sass"/>
        <s v="Zopapa y Crema"/>
        <s v="Pinta en Tomate"/>
        <s v="Helado con sol Costa"/>
        <s v="biermania con los pibes"/>
        <s v="Pebete"/>
        <s v="Llampo anti caida"/>
        <s v="Juntada con Agus"/>
        <s v="Comida con Juli y Bau"/>
        <s v="Pizzas con Agos"/>
        <s v="Cine con Gena y Hugo"/>
        <s v="Comida de Jamiro"/>
        <s v="Salida con Agus"/>
        <s v="3 Cuota de Regalo de Sillon mama"/>
        <s v="1/3 Magnesio"/>
        <s v="Perfume Natura 1/3"/>
        <s v="Cama 10/10 "/>
        <s v="Pasaje 2/2 Vuelta Buenos Aires"/>
        <s v="Celular 1/3"/>
        <s v="Faltante de Pasaje Santy"/>
        <s v="Monster"/>
        <s v="Crema Humectante"/>
        <s v="Forros"/>
        <s v="Salida Con Agos"/>
        <s v="Lentes de Contacto"/>
        <s v="Funda para Celular"/>
        <s v="Coca con los pibes "/>
        <s v="Sanguches con sol"/>
        <s v="Peajes que me Debe ALEBARRERA"/>
        <s v="mama - para uber"/>
        <s v="Los perdi"/>
        <s v="Salida con Agos a Bullicio"/>
        <s v="Salida con Sol - Pizzas"/>
        <s v="Frutillas para Licuado"/>
        <s v="Forros y Protector Solar"/>
        <s v="Panchos con Agus"/>
        <s v="Pago de Figma - Mes "/>
        <s v="Joda con Agus - Limon"/>
        <s v="Negro de Mierda que cuida autos"/>
        <s v="Cine con More"/>
        <s v="Alfajores con Agus"/>
        <s v="Pantalon y Remera"/>
        <s v="Protector de Pantalla"/>
        <s v="Comida de Navidad"/>
        <s v="Birras con los Pibes"/>
        <s v="Desodorante"/>
        <s v="Parches para grano"/>
        <s v="Enchufes para Aires"/>
        <s v="Parches y Anilinas para Pantalon"/>
        <s v="Año Nuevo"/>
        <s v="Alfajor"/>
        <s v="Cumple de Juli"/>
        <s v="Juntada a Comer Con Juli"/>
        <s v="* $341.000 2da Cuota de Celular&#10;* $11.700   2da Cuota de Magnesio&#10;* $11.257   2da Cuota de Perfume&#10;* $10.000   de tu regalo&#10;* $22.500   1era Cuota de Pantalón"/>
        <s v="Leche, Jamon Cocido, alcohol"/>
        <s v="Frutas"/>
        <s v="Papas y alfajor de salida con Agos"/>
        <s v="* $341.000 2da Cuota de Celular&#10;* $11.700   2da Cuota de Magnesio&#10;* $11.257   2da Cuota de Perfume&#10;* $10.000   de tu regalo&#10;* $22.500   1era Cuota de Pantalón&#10;* $20.000   Plata que debia a mama"/>
        <s v="Pancho con Agos"/>
        <s v="Cine"/>
        <s v="No recuerdo"/>
        <s v="Sanguches de Miga"/>
        <s v="Parte de Celu para la More"/>
        <s v="Parches para Granos"/>
        <s v="Piercing en la ceja"/>
        <s v="Licuado con agus"/>
        <s v="Lentes de SOl"/>
        <s v="Palpel higienico"/>
        <s v="Sanguches y Jugo"/>
        <s v="Cine con Agus"/>
        <s v="Factura - Juntada con los Pibes"/>
        <s v="Minoxidil y Pastillas para el Acne"/>
        <s v="Persevativos"/>
        <s v="Coca y tafirol "/>
        <s v="Pastillas y Termometro"/>
        <s v="Pan y Té Vic"/>
        <s v="Birra con Sol"/>
        <s v="Queso,Crema,Fideos"/>
        <s v="Cargador Samsung"/>
        <s v="Pasaporte"/>
        <s v="Juntada con Genaro"/>
        <s v="Helado"/>
        <s v="Cerveza con Joa"/>
        <s v="Juego de Boxeo"/>
        <s v="Carta"/>
        <s v="Coca y alfaores para juntada de Juli"/>
        <s v="Debia a Bauti, pero envie mal la transfereincia"/>
        <s v="Sanguche para juntada de juli"/>
        <s v="Fotocopia y Carta"/>
        <s v="Viaje a Cordoba"/>
        <s v="Desayuno"/>
        <s v="Peajes"/>
        <s v="Regalo para santy"/>
        <s v="Coca"/>
        <s v="No recuerdo bien&#10;- Comida de Jamiero&#10;- cosas"/>
        <s v="Salida con Anto"/>
        <s v="Hamburguesas&#10;(Mitad juli)"/>
        <s v="Ceriales &#10;(Mitad con Juli)"/>
        <s v="Platsul de Quemadura de Juli"/>
        <s v="Agua Avion&#10;((Mitad con Juli))"/>
        <s v="Bolas Siplox"/>
        <s v="Remera y Chomba de Zara"/>
        <s v="Zapatillas Bans"/>
        <s v="Pulseras"/>
        <s v="Medias"/>
        <s v="Plata prestada a juli para comprarse las Zapas en Mexico"/>
        <s v="Hamburguesa"/>
        <s v="Prestamo a Juli para el Roaming"/>
        <s v="Prestamo a Juli para el Perfume"/>
        <s v="Auricularres Razer"/>
        <s v="Venda para Tatto"/>
        <s v="Almuerzo en Aeropuerto de Bogota"/>
        <s v="Coffe"/>
        <s v="Regalo para mama"/>
        <s v="Auriculares para Santy"/>
        <s v="Remo de Aeropuerto a Casa de Ciril"/>
        <s v="Agua para el Mate"/>
        <s v="Prestamo a Bau"/>
        <s v="Tapa Granos"/>
        <s v="Con Agus en Telo"/>
        <s v="Con Agus a la Costa"/>
        <s v="Pool con Agus"/>
        <s v="Tomates"/>
        <s v="Comision de Traspaso de Dolares"/>
        <s v="Juntada con Gena (cena)"/>
        <s v="Birra con Bau y Sol"/>
        <s v="Cena con Agus"/>
        <s v="$10,000.00        $7.13        Regalo Mama 6/10&#10;$22,500.00        $16.04        Pantalon 3/3&#10;$16,000.00        $11.41        Peluqueria&#10;$40,000.00        $28.52        Vaucher mama&#10;$29,000.00        $20.68        Roaming&#10;$14,500.00        $10.34        Ro"/>
        <s v="Regio con Agus"/>
        <s v="Rabioles Casa de Gena"/>
        <s v="Juntada con la Flia"/>
        <s v="Pago de Youtube"/>
        <s v="Boludeces del Chino"/>
        <s v="Gel de Limpieza + Crema humectante"/>
        <s v="Salchichas y Pan"/>
        <s v="Alfajor y Masitas"/>
        <s v="Cascarudo regalo a Agus"/>
        <s v="Comida del Jamiro"/>
        <s v="Kiosco - Chips"/>
        <s v="Tapa Zocalo y Burlete"/>
        <s v="iNYECTABLE"/>
        <s v="Revision a Jamiro"/>
        <s v="Hamburguesa con Agus"/>
        <s v="Te"/>
        <s v="Uber para Agos"/>
        <s v="Prestamo de Bau"/>
        <s v="Hambur con Gena y Hugo y Tato"/>
        <s v="Nafta para el auto"/>
        <s v="Vaso de Cremaa"/>
        <s v="Pastillas Minoxidil"/>
        <s v="Asado del Papa"/>
        <s v="CERVEZA CON AGUS"/>
        <s v="Fernet con Agus"/>
        <s v="Corta Uñas"/>
      </sharedItems>
    </cacheField>
    <cacheField name="FECHA DE CREACION">
      <sharedItems containsDate="1" containsBlank="1" containsMixedTypes="1">
        <d v="2025-03-29T00:00:00Z"/>
        <d v="2025-04-07T00:00:00Z"/>
        <d v="2025-04-08T00:00:00Z"/>
        <d v="2025-04-09T00:00:00Z"/>
        <d v="2025-04-10T00:00:00Z"/>
        <d v="2025-04-11T00:00:00Z"/>
        <d v="2025-04-12T00:00:00Z"/>
        <d v="2025-04-14T00:00:00Z"/>
        <d v="2025-04-17T00:00:00Z"/>
        <d v="2025-04-19T00:00:00Z"/>
        <d v="2025-04-21T00:00:00Z"/>
        <d v="2025-04-22T00:00:00Z"/>
        <d v="2025-04-23T00:00:00Z"/>
        <d v="2025-04-24T00:00:00Z"/>
        <d v="2025-04-25T00:00:00Z"/>
        <d v="2025-04-26T00:00:00Z"/>
        <d v="2025-04-29T00:00:00Z"/>
        <d v="2025-04-30T00:00:00Z"/>
        <d v="2025-05-02T00:00:00Z"/>
        <d v="2025-05-03T00:00:00Z"/>
        <d v="2025-05-05T00:00:00Z"/>
        <d v="2025-05-06T00:00:00Z"/>
        <d v="2025-05-07T00:00:00Z"/>
        <d v="2025-05-08T00:00:00Z"/>
        <d v="2025-05-09T00:00:00Z"/>
        <d v="2025-05-10T00:00:00Z"/>
        <d v="2025-05-11T00:00:00Z"/>
        <d v="2025-05-14T00:00:00Z"/>
        <d v="2025-05-15T00:00:00Z"/>
        <d v="2025-05-16T00:00:00Z"/>
        <d v="2025-05-18T00:00:00Z"/>
        <d v="2025-05-19T00:00:00Z"/>
        <d v="2025-05-20T00:00:00Z"/>
        <d v="2025-05-21T00:00:00Z"/>
        <d v="2025-05-22T00:00:00Z"/>
        <d v="2025-05-30T00:00:00Z"/>
        <d v="2025-06-04T00:00:00Z"/>
        <d v="2025-06-06T00:00:00Z"/>
        <d v="2025-06-07T00:00:00Z"/>
        <d v="2025-06-09T00:00:00Z"/>
        <d v="2025-06-10T00:00:00Z"/>
        <d v="2025-06-11T00:00:00Z"/>
        <d v="2025-06-12T00:00:00Z"/>
        <d v="2025-06-13T00:00:00Z"/>
        <d v="2025-06-15T00:00:00Z"/>
        <d v="2025-06-16T00:00:00Z"/>
        <d v="2025-06-17T00:00:00Z"/>
        <d v="2025-06-18T00:00:00Z"/>
        <d v="2025-06-19T00:00:00Z"/>
        <d v="2025-06-20T00:00:00Z"/>
        <d v="2025-06-22T00:00:00Z"/>
        <d v="2025-06-23T00:00:00Z"/>
        <d v="2025-06-25T00:00:00Z"/>
        <d v="2025-06-26T00:00:00Z"/>
        <d v="2025-06-27T00:00:00Z"/>
        <d v="2025-06-30T00:00:00Z"/>
        <d v="2025-07-01T00:00:00Z"/>
        <d v="2025-07-02T00:00:00Z"/>
        <d v="2025-07-05T00:00:00Z"/>
        <d v="2025-07-06T00:00:00Z"/>
        <d v="2025-07-07T00:00:00Z"/>
        <d v="2025-07-08T00:00:00Z"/>
        <d v="2025-07-09T00:00:00Z"/>
        <d v="2025-07-11T00:00:00Z"/>
        <d v="2025-07-12T00:00:00Z"/>
        <d v="2025-07-14T00:00:00Z"/>
        <d v="2025-07-15T00:00:00Z"/>
        <d v="2025-07-17T00:00:00Z"/>
        <d v="2025-07-19T00:00:00Z"/>
        <d v="2025-07-20T00:00:00Z"/>
        <d v="2025-07-21T00:00:00Z"/>
        <d v="2025-07-22T00:00:00Z"/>
        <d v="2025-07-25T00:00:00Z"/>
        <d v="2025-07-28T00:00:00Z"/>
        <d v="2025-07-29T00:00:00Z"/>
        <d v="2025-07-30T00:00:00Z"/>
        <d v="2025-08-02T00:00:00Z"/>
        <d v="2025-08-03T00:00:00Z"/>
        <d v="2025-08-05T00:00:00Z"/>
        <d v="2025-08-10T00:00:00Z"/>
        <d v="2025-08-11T00:00:00Z"/>
        <d v="2025-08-13T00:00:00Z"/>
        <d v="2025-08-14T00:00:00Z"/>
        <d v="2025-08-15T00:00:00Z"/>
        <d v="2025-08-19T00:00:00Z"/>
        <d v="2025-08-20T00:00:00Z"/>
        <d v="2025-08-21T00:00:00Z"/>
        <d v="2025-08-31T00:00:00Z"/>
        <d v="2025-09-01T00:00:00Z"/>
        <d v="2025-09-02T00:00:00Z"/>
        <d v="2025-09-04T00:00:00Z"/>
        <d v="2025-09-07T00:00:00Z"/>
        <d v="2025-09-08T00:00:00Z"/>
        <d v="2025-09-09T00:00:00Z"/>
        <d v="2025-09-10T00:00:00Z"/>
        <d v="2025-09-11T00:00:00Z"/>
        <d v="2025-09-13T00:00:00Z"/>
        <d v="2025-09-18T00:00:00Z"/>
        <d v="2025-09-19T00:00:00Z"/>
        <d v="2025-09-21T00:00:00Z"/>
        <d v="2025-09-24T00:00:00Z"/>
        <d v="2025-09-25T00:00:00Z"/>
        <d v="2025-09-27T00:00:00Z"/>
        <d v="2025-09-28T00:00:00Z"/>
        <d v="2025-09-30T00:00:00Z"/>
        <d v="2025-10-03T00:00:00Z"/>
        <d v="2025-10-05T00:00:00Z"/>
        <d v="2025-10-07T00:00:00Z"/>
        <d v="2025-10-09T00:00:00Z"/>
        <d v="2025-10-11T00:00:00Z"/>
        <d v="2025-10-12T00:00:00Z"/>
        <d v="2025-10-14T00:00:00Z"/>
        <d v="2025-10-16T00:00:00Z"/>
        <d v="2025-10-17T00:00:00Z"/>
        <d v="2025-10-18T00:00:00Z"/>
        <d v="2025-10-20T00:00:00Z"/>
        <d v="2025-10-21T00:00:00Z"/>
        <d v="2025-10-24T00:00:00Z"/>
        <d v="2025-10-25T00:00:00Z"/>
        <d v="2025-10-26T00:00:00Z"/>
        <d v="2025-10-27T00:00:00Z"/>
        <d v="2025-10-29T00:00:00Z"/>
        <d v="2025-10-30T00:00:00Z"/>
        <d v="2025-10-31T00:00:00Z"/>
        <d v="2025-11-03T00:00:00Z"/>
        <d v="2025-11-05T00:00:00Z"/>
        <d v="2025-11-07T00:00:00Z"/>
        <d v="2025-11-09T00:00:00Z"/>
        <d v="2025-11-11T00:00:00Z"/>
        <d v="2025-11-12T00:00:00Z"/>
        <d v="2025-11-13T00:00:00Z"/>
        <d v="2025-11-14T00:00:00Z"/>
        <d v="2025-11-15T00:00:00Z"/>
        <d v="2025-11-16T00:00:00Z"/>
        <d v="2025-11-17T00:00:00Z"/>
        <d v="2025-11-20T00:00:00Z"/>
        <d v="2025-11-21T00:00:00Z"/>
        <d v="2025-11-22T00:00:00Z"/>
        <d v="2025-11-23T00:00:00Z"/>
        <d v="2025-11-24T00:00:00Z"/>
        <d v="2025-11-25T00:00:00Z"/>
        <d v="2025-11-26T00:00:00Z"/>
        <d v="2025-11-27T00:00:00Z"/>
        <d v="2025-11-28T00:00:00Z"/>
        <d v="2025-12-01T00:00:00Z"/>
        <d v="2025-12-03T00:00:00Z"/>
        <d v="2025-12-06T00:00:00Z"/>
        <d v="2025-12-09T00:00:00Z"/>
        <d v="2025-12-10T00:00:00Z"/>
        <d v="2025-12-11T00:00:00Z"/>
        <d v="2025-12-12T00:00:00Z"/>
        <d v="2025-12-13T00:00:00Z"/>
        <d v="2025-12-14T00:00:00Z"/>
        <d v="2025-12-15T00:00:00Z"/>
        <d v="2025-12-16T00:00:00Z"/>
        <d v="2025-12-17T00:00:00Z"/>
        <d v="2025-12-18T00:00:00Z"/>
        <d v="2025-12-19T00:00:00Z"/>
        <d v="2025-12-20T00:00:00Z"/>
        <d v="2025-12-21T00:00:00Z"/>
        <d v="2025-12-22T00:00:00Z"/>
        <d v="2025-12-23T00:00:00Z"/>
        <d v="2025-12-24T00:00:00Z"/>
        <d v="2025-12-27T00:00:00Z"/>
        <d v="2025-12-29T00:00:00Z"/>
        <d v="2025-12-30T00:00:00Z"/>
        <d v="2025-12-31T00:00:00Z"/>
        <d v="2026-01-01T00:00:00Z"/>
        <d v="2026-01-03T00:00:00Z"/>
        <d v="2026-01-04T00:00:00Z"/>
        <d v="2026-01-05T00:00:00Z"/>
        <d v="2026-01-06T00:00:00Z"/>
        <d v="2026-01-08T00:00:00Z"/>
        <d v="2026-01-09T00:00:00Z"/>
        <d v="2026-01-10T00:00:00Z"/>
        <d v="2026-01-11T00:00:00Z"/>
        <d v="2026-01-12T00:00:00Z"/>
        <d v="2026-01-13T00:00:00Z"/>
        <d v="2026-01-14T00:00:00Z"/>
        <d v="2026-01-15T00:00:00Z"/>
        <d v="2026-01-16T00:00:00Z"/>
        <d v="2026-01-18T00:00:00Z"/>
        <d v="2026-01-19T00:00:00Z"/>
        <d v="2026-01-20T00:00:00Z"/>
        <d v="2026-01-21T00:00:00Z"/>
        <d v="2026-01-22T00:00:00Z"/>
        <d v="2026-01-23T00:00:00Z"/>
        <d v="2026-01-25T00:00:00Z"/>
        <d v="2026-01-26T00:00:00Z"/>
        <d v="2026-01-27T00:00:00Z"/>
        <d v="2026-01-28T00:00:00Z"/>
        <d v="2026-01-29T00:00:00Z"/>
        <d v="2026-01-30T00:00:00Z"/>
        <d v="2026-02-05T00:00:00Z"/>
        <d v="2026-02-06T00:00:00Z"/>
        <d v="2026-02-07T00:00:00Z"/>
        <d v="2026-02-10T00:00:00Z"/>
        <d v="2026-02-12T00:00:00Z"/>
        <d v="2026-02-14T00:00:00Z"/>
        <d v="2026-02-15T00:00:00Z"/>
        <d v="2026-02-17T00:00:00Z"/>
        <d v="2026-03-07T00:00:00Z"/>
        <d v="2026-03-08T00:00:00Z"/>
        <d v="2026-03-09T00:00:00Z"/>
        <d v="2026-03-10T00:00:00Z"/>
        <d v="2026-03-12T00:00:00Z"/>
        <d v="2026-03-13T00:00:00Z"/>
        <d v="2026-03-15T00:00:00Z"/>
        <d v="2026-03-16T00:00:00Z"/>
        <d v="2026-03-17T00:00:00Z"/>
        <d v="2026-03-18T00:00:00Z"/>
        <d v="2026-03-19T00:00:00Z"/>
        <d v="2026-03-20T00:00:00Z"/>
        <d v="2026-03-21T00:00:00Z"/>
        <d v="2026-03-22T00:00:00Z"/>
        <d v="2026-03-23T00:00:00Z"/>
        <d v="2026-03-24T00:00:00Z"/>
        <d v="2026-03-25T00:00:00Z"/>
        <d v="2026-03-26T00:00:00Z"/>
        <d v="2026-03-27T00:00:00Z"/>
        <d v="2026-03-29T00:00:00Z"/>
        <s v="Sun Mar 29 2026 00:00:00 GMT-0300 (hora estándar de Argentina)"/>
        <s v="Mon Mar 30 2026 00:00:00 GMT-0300 (hora estándar de Argentina)"/>
        <s v="Wed Apr 01 2026 00:00:00 GMT-0300 (hora estándar de Argentina)"/>
        <s v="Fri Apr 03 2026 00:00:00 GMT-0300 (hora estándar de Argentina)"/>
        <s v="Sat Apr 04 2026 00:00:00 GMT-0300 (hora estándar de Argentina)"/>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1013" sheet="INGRESOS"/>
  </cacheSource>
  <cacheFields>
    <cacheField name="CANTIDAD" numFmtId="164">
      <sharedItems containsString="0" containsBlank="1" containsNumber="1">
        <n v="10896.97"/>
        <n v="26200.0"/>
        <n v="252.597677"/>
        <n v="100000.0"/>
        <n v="100.0"/>
        <n v="630.352323"/>
        <n v="35000.0"/>
        <n v="3.0"/>
        <n v="77000.0"/>
        <n v="62.57"/>
        <n v="17.89"/>
        <n v="17.91"/>
        <n v="53.72"/>
        <n v="38000.0"/>
        <n v="50000.0"/>
        <n v="43110.0"/>
        <n v="600.0"/>
        <n v="9300.0"/>
        <n v="1736.71"/>
        <n v="15000.0"/>
        <n v="65000.0"/>
        <n v="523.28"/>
        <n v="55000.0"/>
        <n v="2634.15"/>
        <n v="453.7"/>
        <n v="30000.0"/>
        <n v="1237.27"/>
        <n v="1300.0"/>
        <n v="200.0"/>
        <n v="467.66"/>
        <n v="11304.36"/>
        <n v="105000.11"/>
        <n v="500.0"/>
        <n v="13662.26"/>
        <n v="1030.78"/>
        <n v="163370.0"/>
        <n v="629.25"/>
        <n v="6900.0"/>
        <n v="1000.0"/>
        <n v="70000.0"/>
        <n v="81685.0"/>
        <n v="21323.22"/>
        <n v="3500.0"/>
        <n v="81692.28"/>
        <n v="2000.0"/>
        <n v="50.0"/>
        <n v="29186.68"/>
        <n v="40000.0"/>
        <n v="25.0"/>
        <n v="1158.5"/>
        <n v="30.0"/>
        <n v="29186.6"/>
        <n v="800.0"/>
        <n v="8000.0"/>
        <n v="15.0"/>
        <n v="149.46"/>
        <n v="60000.0"/>
        <n v="80000.0"/>
        <n v="75000.0"/>
        <n v="81685.2"/>
        <n v="1002.0"/>
        <n v="5000.0"/>
        <n v="68000.0"/>
        <n v="119000.0"/>
        <n v="1559.41"/>
        <n v="81685.56"/>
        <n v="16000.0"/>
        <n v="20000.0"/>
        <n v="50.01"/>
        <n v="95000.0"/>
        <n v="370000.0"/>
        <n v="76600.0"/>
        <n v="72.62883096"/>
        <n v="42.4"/>
        <n v="81687.8"/>
        <n v="5996.6"/>
        <n v="45000.0"/>
        <n v="2115.47"/>
        <n v="250.0"/>
        <n v="4624.19"/>
        <n v="3000.0"/>
        <n v="81686.68"/>
        <n v="357.12"/>
        <n v="295.0"/>
        <n v="981.53"/>
        <n v="76.0"/>
        <n v="81687.24"/>
        <n v="240.0"/>
        <n v="166.0"/>
        <n v="1534.69"/>
        <m/>
      </sharedItems>
    </cacheField>
    <cacheField name="CUENTAS" numFmtId="0">
      <sharedItems containsBlank="1">
        <s v="ARS VIRTUAL"/>
        <s v="ARS BILLETERA"/>
        <s v="AHORROS "/>
        <s v="USD FISICO"/>
        <s v="USD VIRTUAL"/>
        <m/>
      </sharedItems>
    </cacheField>
    <cacheField name="CATEGORIA" numFmtId="0">
      <sharedItems containsBlank="1">
        <m/>
        <s v="REGALO"/>
        <s v="SALARIO"/>
        <s v="NOSE"/>
        <s v="VIDEO"/>
        <s v="NARANJA"/>
        <s v="EDICION"/>
        <s v="PROGRESAR"/>
        <s v="Me Debe"/>
        <s v="VIDEO, EDICION"/>
        <s v="FOTOS"/>
        <s v="FOTOS, VIDEO"/>
        <s v="EDICION, VIDEO"/>
        <s v="FOTOS, VIDEO, Me Debe"/>
        <s v="VENTA"/>
      </sharedItems>
    </cacheField>
    <cacheField name="COMENTARIO">
      <sharedItems containsBlank="1" containsMixedTypes="1" containsNumber="1" containsInteger="1">
        <m/>
        <s v="REGALO DE MAMA PARA ALQUILER"/>
        <s v="PAGO DE MONEYLAB "/>
        <s v="CREO QUE EL PROGRESAR"/>
        <s v="asdasd"/>
        <s v="Evento de Ale Barrera. Cumple de Juli"/>
        <s v="Filmacion de PROMOCION "/>
        <s v="2da edicion de Video de Juli XV"/>
        <s v="1ra edicion de Video de Juli XV"/>
        <s v="Creo que progresar o UNT"/>
        <s v="Filmacion de XV"/>
        <s v="100 Notion&#10;50 Soporte Lara&#10;450 Pagina Lara"/>
        <s v="Mama, para la Comida"/>
        <s v="Eli de supermercado Dino"/>
        <s v="1_ VideoEntrada"/>
        <s v="Video Largo Luna"/>
        <s v="XV DE LUNA (ALE)"/>
        <s v="3_AperturaFiesta"/>
        <s v="XV  (ALE)"/>
        <s v="XV (DARIO)"/>
        <s v="Video Largo Delfi"/>
        <s v="2_VideoAmigas"/>
        <s v="Fiesta Alma"/>
        <s v="Video Corto ALMA"/>
        <s v="Agencia"/>
        <s v="Otro Video de ALMA"/>
        <s v="1er Pago: Fotos Evento"/>
        <s v="De los 3000 que me presto mama para comprar el pasaje"/>
        <s v="Agencia : 1er = Factible"/>
        <s v="Mama para el Alquiler"/>
        <s v="2do Pago: Fotos Evento"/>
        <s v="3 pagos de Progresar"/>
        <s v="100 - Trabajas de Factible (5hs)&#10;200 - Segunda Cuota de Factible&#10;200 - Soporte de Factible (1) - 6,5hs"/>
        <s v="MAMA"/>
        <n v="3.0"/>
        <s v="-"/>
        <s v="Solange De salsa "/>
        <s v="XV GAST ORDOÑEZ&#10;No me lo Pago&#10;Lo saque de los 600 USD que le debo&#10;Vendi 53.58USD"/>
        <s v="VIDEO DARIO&#10;23 DE MAYO 2026&#10;1/2 (50mil)"/>
        <s v="Lo saque de mi USD"/>
        <s v="XV Gast - Fiorela&#10;No me lo Pago&#10;Lo saque de los 600 USD que le debo&#10;Precio del dolar $$1,379.50&#10;Son  = 50.74"/>
        <s v="Sesion Promo&#10;No me lo Pago&#10;Lo saque de los 600 USD que le debo&#10;Precio del dolar $1,309.50&#10;Son  = 22.91"/>
        <s v="XV GAST &#10;No me lo Pago&#10;Lo saque de los 600 USD que le debo&#10;Precio del dolar $1,309.50&#10;Son  = 53.455"/>
        <s v="Sesion Chiara Amigas&#10;No me lo Pago&#10;Lo saque de los 600 USD que le debo&#10;Precio del dolar $1,362.58&#10;Son: 22.02"/>
        <s v="Sesion Benerise Amigas&#10;No me lo Pago&#10;Lo saque de los 600 USD que le debo&#10;Precio del dolar $1,471.13&#10;Son: $21.43"/>
        <s v="mama para la pelu"/>
        <s v="Sesion Agos Amigas -Soledad"/>
        <s v="1/2 Pago de TQ - CRM"/>
        <s v="VIDEO DARIO&#10;23 DE MAYO 2026&#10;2/2 (40mil)"/>
        <s v="&quot;Automatizaciones de NextLevel&#10;1/2 pago&quot;"/>
        <s v="Sesion con MARCE&#10;No me Pago&#10;Lo saque de los 600 usd&#10;Precio del dolar 1483&#10;Son $23.6 usd"/>
        <s v="2/2 Pago de TQ - CRM"/>
        <s v="a"/>
        <s v="XV Gast - Video&#10;No me lo Pago&#10;Lo saque de los 600 USD que le debo&#10;Precio del dolar $1427.5&#10;Son  = 49.036"/>
        <s v="XV Gast - Sesion Promo"/>
        <s v="10hs Soporte TQ"/>
        <s v="Entro de Uber - 9200"/>
        <s v="Gast - Odontologa 1/2"/>
        <s v="Me lo encontre"/>
        <s v="Plata que me Consiguio Juli por ayuda"/>
        <s v="Gast - Sesion Carrilobo 11/11/2025&#10;Pago = 100k (40 fueron Nafta)"/>
        <s v="Gast - Boda Zorros 15/11/2025&#10;Pago = 100k (20 fueron Nafta)"/>
        <s v="Gast - Odontologa 2/2"/>
        <s v="Plata que me debia sol"/>
        <s v="Gast - Sesion Promo"/>
        <s v="Gast - Casamiento - 01/11/2025"/>
        <s v="Sole - Sesion amigas de Tizi "/>
        <s v="AleTernengo"/>
        <s v="Gast - Boda Meli y Enzo"/>
        <s v="Ahorro de nafta - Carrilobo"/>
        <s v="Gast - Boda Bellville 06/12/2025&#10;Pago = 100k (20 fueron Nafta)"/>
        <s v="Gast - Sesion Amigas (MAMA JESSICA)&#10;8000 DEMAS"/>
        <s v="Pago de NextLevel (25usd Deuda)&#10;+ 55usd demas de parte de juli"/>
        <s v="Gast - Sesion Caro "/>
        <s v="VIDEO DARIO&#10;16 DE MAYO 2026&#10;1/2 (50mil)"/>
        <s v="XV Gast - Marti"/>
        <s v="VIDEO DARIO&#10;16 DE MAYO 2026&#10;2/2 (50mil)"/>
        <s v="Ale Ternengo - Mili XV"/>
        <s v="Promo Alto Alegre"/>
        <s v="Soberante de plata para alto alegre"/>
        <s v="Sesion Isla Verde "/>
        <s v="Faltante de Pasaje Santy"/>
        <s v="Gast - Sesion Boda"/>
        <s v="Gast - Entrega de Diplomas"/>
        <s v="Gast - Promo IslaVerde Fiesta"/>
        <s v="Landing de Facu"/>
        <s v="AleBarrera - PROMO"/>
        <s v="Pago de lo que faltaba de Gaston&#10;Evento del 10-12-13 de Diciembre"/>
        <s v="Gast - Sesion Boda (Carlos y Griselda)"/>
        <s v="Tranning Gym - Primera Quincena "/>
        <s v="AleBarrera - PROMO&#10;Pago de Edicion"/>
        <s v="Pago de Codigo de Landing BioHackin"/>
        <s v="Celular Samsung"/>
        <s v="."/>
        <s v="Gast - Sesion Marce"/>
        <s v="Solead - XV Bianca"/>
        <s v="Tranning Gym - Segunda Quincena "/>
        <s v="Tranning Gym - Febrero"/>
        <s v="Gast - XV Guille"/>
        <s v="Vendi 3.19 USD"/>
        <s v="Pago de Factura de Feli"/>
        <s v="Devolucion de Gita Perdida de  Bau"/>
        <s v="Deuda de Juli (Mexico)"/>
        <s v="Pago de Mexico"/>
        <s v="Deuda de Juli (Mexico) que faltaba"/>
        <s v="Deuda de Sol"/>
        <s v="Devolucion de Bau"/>
        <s v="Pago 11 Dias de Febrero&#10;Roberto Ruarte"/>
        <s v="Pago de Marzo&#10;Roberto Reports"/>
        <s v="Devolucion de Bau (2da Parte)&#10;Equivale a 40 usd"/>
      </sharedItems>
    </cacheField>
    <cacheField name="FECHA DE CREACION" numFmtId="167">
      <sharedItems containsDate="1" containsString="0" containsBlank="1">
        <d v="2025-03-06T00:00:00Z"/>
        <d v="2025-03-07T00:00:00Z"/>
        <d v="2025-03-08T00:00:00Z"/>
        <d v="2025-03-09T00:00:00Z"/>
        <d v="2025-03-10T00:00:00Z"/>
        <d v="2025-03-11T00:00:00Z"/>
        <d v="2025-03-12T00:00:00Z"/>
        <d v="2025-03-13T00:00:00Z"/>
        <d v="2025-03-14T00:00:00Z"/>
        <d v="2025-03-15T00:00:00Z"/>
        <d v="2025-03-16T00:00:00Z"/>
        <d v="2025-03-17T00:00:00Z"/>
        <d v="2025-03-18T00:00:00Z"/>
        <d v="2025-03-19T00:00:00Z"/>
        <d v="2025-03-20T00:00:00Z"/>
        <d v="2025-03-21T00:00:00Z"/>
        <d v="2025-03-22T00:00:00Z"/>
        <d v="2025-03-23T00:00:00Z"/>
        <d v="2025-03-24T00:00:00Z"/>
        <d v="2025-04-06T00:00:00Z"/>
        <d v="2025-04-13T00:00:00Z"/>
        <d v="2025-04-19T00:00:00Z"/>
        <d v="2025-04-21T00:00:00Z"/>
        <d v="2025-04-22T00:00:00Z"/>
        <d v="2025-04-24T00:00:00Z"/>
        <d v="2025-04-26T00:00:00Z"/>
        <d v="2025-04-29T00:00:00Z"/>
        <d v="2025-04-30T00:00:00Z"/>
        <d v="2025-05-10T00:00:00Z"/>
        <d v="2025-05-18T00:00:00Z"/>
        <d v="2025-05-19T00:00:00Z"/>
        <d v="2025-05-22T00:00:00Z"/>
        <d v="2025-05-26T00:00:00Z"/>
        <d v="2025-06-01T00:00:00Z"/>
        <d v="2025-06-05T00:00:00Z"/>
        <d v="2025-06-11T00:00:00Z"/>
        <d v="2025-06-13T00:00:00Z"/>
        <d v="2025-06-15T00:00:00Z"/>
        <d v="2025-06-17T00:00:00Z"/>
        <d v="2025-06-18T00:00:00Z"/>
        <d v="2025-07-05T00:00:00Z"/>
        <d v="2025-07-11T00:00:00Z"/>
        <d v="2025-07-13T00:00:00Z"/>
        <d v="2025-07-18T00:00:00Z"/>
        <d v="2025-07-21T00:00:00Z"/>
        <d v="2025-07-23T00:00:00Z"/>
        <d v="2025-07-26T00:00:00Z"/>
        <d v="2025-07-28T00:00:00Z"/>
        <d v="2025-07-29T00:00:00Z"/>
        <d v="2025-08-06T00:00:00Z"/>
        <d v="2025-08-08T00:00:00Z"/>
        <d v="2025-08-10T00:00:00Z"/>
        <d v="2025-08-15T00:00:00Z"/>
        <d v="2025-08-16T00:00:00Z"/>
        <d v="2025-08-24T00:00:00Z"/>
        <d v="2025-09-04T00:00:00Z"/>
        <d v="2025-09-07T00:00:00Z"/>
        <d v="2025-09-10T00:00:00Z"/>
        <d v="2025-09-14T00:00:00Z"/>
        <d v="2025-09-19T00:00:00Z"/>
        <d v="2025-09-25T00:00:00Z"/>
        <d v="2025-09-27T00:00:00Z"/>
        <d v="2025-10-01T00:00:00Z"/>
        <d v="2025-10-02T00:00:00Z"/>
        <d v="2025-10-04T00:00:00Z"/>
        <d v="2025-10-10T00:00:00Z"/>
        <d v="2025-10-11T00:00:00Z"/>
        <d v="2025-10-14T00:00:00Z"/>
        <d v="2025-10-17T00:00:00Z"/>
        <d v="2025-10-18T00:00:00Z"/>
        <d v="2025-10-24T00:00:00Z"/>
        <d v="2025-10-26T00:00:00Z"/>
        <d v="2025-10-30T00:00:00Z"/>
        <d v="2025-11-01T00:00:00Z"/>
        <d v="2025-11-02T00:00:00Z"/>
        <d v="2025-11-05T00:00:00Z"/>
        <d v="2025-11-08T00:00:00Z"/>
        <d v="2025-11-10T00:00:00Z"/>
        <d v="2025-11-12T00:00:00Z"/>
        <d v="2025-11-13T00:00:00Z"/>
        <d v="2025-11-18T00:00:00Z"/>
        <d v="2025-11-22T00:00:00Z"/>
        <d v="2025-11-27T00:00:00Z"/>
        <d v="2025-11-29T00:00:00Z"/>
        <d v="2025-12-01T00:00:00Z"/>
        <d v="2025-12-04T00:00:00Z"/>
        <d v="2025-12-05T00:00:00Z"/>
        <d v="2025-12-07T00:00:00Z"/>
        <d v="2025-12-10T00:00:00Z"/>
        <d v="2025-12-12T00:00:00Z"/>
        <d v="2025-12-13T00:00:00Z"/>
        <d v="2025-12-14T00:00:00Z"/>
        <d v="2025-12-16T00:00:00Z"/>
        <d v="2025-12-17T00:00:00Z"/>
        <d v="2025-12-18T00:00:00Z"/>
        <d v="2025-12-23T00:00:00Z"/>
        <d v="2025-12-30T00:00:00Z"/>
        <d v="2026-01-03T00:00:00Z"/>
        <d v="2026-01-04T00:00:00Z"/>
        <d v="2026-01-09T00:00:00Z"/>
        <d v="2026-01-10T00:00:00Z"/>
        <d v="2026-01-15T00:00:00Z"/>
        <d v="2026-01-19T00:00:00Z"/>
        <d v="2026-02-19T00:00:00Z"/>
        <d v="2026-01-17T00:00:00Z"/>
        <d v="2026-01-16T00:00:00Z"/>
        <d v="2026-01-18T00:00:00Z"/>
        <d v="2026-01-21T00:00:00Z"/>
        <d v="2026-02-08T00:00:00Z"/>
        <d v="2026-02-09T00:00:00Z"/>
        <d v="2026-03-14T00:00:00Z"/>
        <d v="2026-03-20T00:00:00Z"/>
        <d v="2026-03-24T00:00:00Z"/>
        <d v="2026-03-27T00:00:00Z"/>
        <d v="2026-04-03T00:00:00Z"/>
        <d v="2026-04-04T00:00:00Z"/>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Hoja 4" cacheId="0" dataCaption="" rowGrandTotals="0" compact="0" compactData="0">
  <location ref="H1:J155" firstHeaderRow="0" firstDataRow="2" firstDataCol="0"/>
  <pivotFields>
    <pivotField name="CANTIDAD"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name="CUENTAS" compact="0" outline="0" multipleItemSelectionAllowed="1" showAll="0">
      <items>
        <item x="0"/>
        <item x="1"/>
        <item x="2"/>
        <item x="3"/>
        <item t="default"/>
      </items>
    </pivotField>
    <pivotField name="CATEGORIA" axis="axisRow" compact="0" outline="0" multipleItemSelectionAllowed="1" showAll="0" sortType="ascending">
      <items>
        <item x="17"/>
        <item x="6"/>
        <item x="0"/>
        <item x="7"/>
        <item x="9"/>
        <item x="8"/>
        <item x="13"/>
        <item x="5"/>
        <item x="1"/>
        <item x="16"/>
        <item x="21"/>
        <item x="15"/>
        <item x="11"/>
        <item x="3"/>
        <item x="2"/>
        <item x="22"/>
        <item x="19"/>
        <item x="18"/>
        <item x="4"/>
        <item x="20"/>
        <item x="23"/>
        <item x="24"/>
        <item x="14"/>
        <item x="12"/>
        <item x="10"/>
        <item t="default"/>
      </items>
    </pivotField>
    <pivotField name="COMENTAR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t="default"/>
      </items>
    </pivotField>
    <pivotField name="FECHA DE CREACION" axis="axisRow" compact="0" outline="0" multipleItemSelectionAllowed="1" showAll="0" sortType="ascending" defaultSubtotal="0">
      <items>
        <item x="2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4"/>
        <item x="222"/>
        <item x="225"/>
        <item x="221"/>
        <item x="223"/>
      </items>
    </pivotField>
  </pivotFields>
  <rowFields>
    <field x="4"/>
    <field x="2"/>
  </rowFields>
  <dataFields>
    <dataField name="SUM of CANTIDAD" fld="0" baseField="0"/>
  </dataFields>
</pivotTableDefinition>
</file>

<file path=xl/pivotTables/pivotTable2.xml><?xml version="1.0" encoding="utf-8"?>
<pivotTableDefinition xmlns="http://schemas.openxmlformats.org/spreadsheetml/2006/main" name="Hoja 4 2" cacheId="1" dataCaption="" rowGrandTotals="0" compact="0" compactData="0">
  <location ref="U1:W89" firstHeaderRow="0" firstDataRow="2" firstDataCol="0"/>
  <pivotFields>
    <pivotField name="CANTIDAD"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CUENTAS" compact="0" outline="0" multipleItemSelectionAllowed="1" showAll="0">
      <items>
        <item x="0"/>
        <item x="1"/>
        <item x="2"/>
        <item x="3"/>
        <item x="4"/>
        <item x="5"/>
        <item t="default"/>
      </items>
    </pivotField>
    <pivotField name="CATEGORIA" axis="axisRow" compact="0" outline="0" multipleItemSelectionAllowed="1" showAll="0" sortType="ascending">
      <items>
        <item x="0"/>
        <item x="6"/>
        <item x="12"/>
        <item x="10"/>
        <item x="11"/>
        <item x="13"/>
        <item x="8"/>
        <item x="5"/>
        <item x="3"/>
        <item x="7"/>
        <item x="1"/>
        <item x="2"/>
        <item x="14"/>
        <item x="4"/>
        <item x="9"/>
        <item t="default"/>
      </items>
    </pivotField>
    <pivotField name="COMENTAR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name="FECHA DE CREACION" axis="axisRow" compact="0" numFmtId="167" outline="0" multipleItemSelectionAllowed="1" showAll="0" sortType="ascending" defaultSubtotal="0">
      <items>
        <item x="1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5"/>
        <item x="104"/>
        <item x="106"/>
        <item x="102"/>
        <item x="107"/>
        <item x="108"/>
        <item x="109"/>
        <item x="103"/>
        <item x="110"/>
        <item x="111"/>
        <item x="112"/>
        <item x="113"/>
        <item x="114"/>
        <item x="115"/>
      </items>
    </pivotField>
  </pivotFields>
  <rowFields>
    <field x="4"/>
    <field x="2"/>
  </rowFields>
  <dataFields>
    <dataField name="SUM of CANTIDAD" fld="0"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9_Col_1" sourceName="FECHA DE CREACION - Año-Mes">
  <x14:extLst>
    <ext uri="{2F2917AC-EB37-4324-AD4E-5DD8C200BD13}">
      <x15:tableSlicerCache tableId="9"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FECHA DE CREACION - Año-Mes_1" cache="SlicerCache_Table_9_Col_1" caption="FECHA DE CREACION - Año-Mes"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FECHA DE CREACION - Año-Mes_2" cache="SlicerCache_Table_9_Col_1" caption="FECHA DE CREACION - Año-Mes" rowHeight="247650"/>
</x14:slicers>
</file>

<file path=xl/tables/table1.xml><?xml version="1.0" encoding="utf-8"?>
<table xmlns="http://schemas.openxmlformats.org/spreadsheetml/2006/main" ref="A1:E1013" displayName="INGRESOS" name="INGRESOS" id="1">
  <tableColumns count="5">
    <tableColumn name="CANTIDAD" id="1"/>
    <tableColumn name="CUENTAS" id="2"/>
    <tableColumn name="CATEGORIA" id="3"/>
    <tableColumn name="COMENTARIO" id="4"/>
    <tableColumn name="FECHA DE CREACION" id="5"/>
  </tableColumns>
  <tableStyleInfo name="INGRESOS-style" showColumnStripes="0" showFirstColumn="1" showLastColumn="1" showRowStripes="1"/>
</table>
</file>

<file path=xl/tables/table2.xml><?xml version="1.0" encoding="utf-8"?>
<table xmlns="http://schemas.openxmlformats.org/spreadsheetml/2006/main" ref="G1:K2" displayName="REGISTRO_DE_INGRESOS" name="REGISTRO_DE_INGRESOS" id="2">
  <tableColumns count="5">
    <tableColumn name="CANTIDAD" id="1"/>
    <tableColumn name="CUENTAS" id="2"/>
    <tableColumn name="CATEGORIA" id="3"/>
    <tableColumn name="COMENTARIO" id="4"/>
    <tableColumn name="FECHA DE CREACION" id="5"/>
  </tableColumns>
  <tableStyleInfo name="INGRESOS-style 2" showColumnStripes="0" showFirstColumn="1" showLastColumn="1" showRowStripes="1"/>
</table>
</file>

<file path=xl/tables/table3.xml><?xml version="1.0" encoding="utf-8"?>
<table xmlns="http://schemas.openxmlformats.org/spreadsheetml/2006/main" ref="A1:E1015" displayName="GASTOS" name="GASTOS" id="3">
  <tableColumns count="5">
    <tableColumn name="CANTIDAD" id="1"/>
    <tableColumn name="CUENTAS" id="2"/>
    <tableColumn name="CATEGORIA" id="3"/>
    <tableColumn name="COMENTARIO" id="4"/>
    <tableColumn name="FECHA DE CREACION" id="5"/>
  </tableColumns>
  <tableStyleInfo name="GASTOS-style" showColumnStripes="0" showFirstColumn="1" showLastColumn="1" showRowStripes="1"/>
</table>
</file>

<file path=xl/tables/table4.xml><?xml version="1.0" encoding="utf-8"?>
<table xmlns="http://schemas.openxmlformats.org/spreadsheetml/2006/main" ref="G1:K2" displayName="REGISTRO" name="REGISTRO" id="4">
  <tableColumns count="5">
    <tableColumn name="CANTIDAD" id="1"/>
    <tableColumn name="CUENTAS" id="2"/>
    <tableColumn name="CATEGORIA" id="3"/>
    <tableColumn name="COMENTARIO" id="4"/>
    <tableColumn name="FECHA DE CREACION" id="5"/>
  </tableColumns>
  <tableStyleInfo name="GASTOS-style 2" showColumnStripes="0" showFirstColumn="1" showLastColumn="1" showRowStripes="1"/>
</table>
</file>

<file path=xl/tables/table5.xml><?xml version="1.0" encoding="utf-8"?>
<table xmlns="http://schemas.openxmlformats.org/spreadsheetml/2006/main" ref="A1:E1015" displayName="TRANSFERENCIA" name="TRANSFERENCIA" id="5">
  <tableColumns count="5">
    <tableColumn name="CANTIDAD" id="1"/>
    <tableColumn name="CUENTAS 1" id="2"/>
    <tableColumn name="CUENTAS 2" id="3"/>
    <tableColumn name="COMENTARIO" id="4"/>
    <tableColumn name="FECHA DE CREACION" id="5"/>
  </tableColumns>
  <tableStyleInfo name="TRANSFERENCIA-style" showColumnStripes="0" showFirstColumn="1" showLastColumn="1" showRowStripes="1"/>
</table>
</file>

<file path=xl/tables/table6.xml><?xml version="1.0" encoding="utf-8"?>
<table xmlns="http://schemas.openxmlformats.org/spreadsheetml/2006/main" ref="G1:K2" displayName="REGISTRO_DE_TRANSFERENCIA" name="REGISTRO_DE_TRANSFERENCIA" id="6">
  <tableColumns count="5">
    <tableColumn name="CANTIDAD" id="1"/>
    <tableColumn name="CUENTAS 1" id="2"/>
    <tableColumn name="CUENTAS 2" id="3"/>
    <tableColumn name="COMENTARIO" id="4"/>
    <tableColumn name="FECHA DE CREACION" id="5"/>
  </tableColumns>
  <tableStyleInfo name="TRANSFERENCIA-style 2" showColumnStripes="0" showFirstColumn="1" showLastColumn="1" showRowStripes="1"/>
</table>
</file>

<file path=xl/tables/table7.xml><?xml version="1.0" encoding="utf-8"?>
<table xmlns="http://schemas.openxmlformats.org/spreadsheetml/2006/main" ref="A1:E1015" displayName="VENTA_DE_DOLARES" name="VENTA_DE_DOLARES" id="7">
  <tableColumns count="5">
    <tableColumn name="CANTIDAD" id="1"/>
    <tableColumn name="CUENTAS 1" id="2"/>
    <tableColumn name="CUENTAS 2" id="3"/>
    <tableColumn name="TASA DE CONVERSION" id="4"/>
    <tableColumn name="FECHA DE CREACION" id="5"/>
  </tableColumns>
  <tableStyleInfo name="VENTA DE DOLARES-style" showColumnStripes="0" showFirstColumn="1" showLastColumn="1" showRowStripes="1"/>
</table>
</file>

<file path=xl/tables/table8.xml><?xml version="1.0" encoding="utf-8"?>
<table xmlns="http://schemas.openxmlformats.org/spreadsheetml/2006/main" ref="A1:E1015" displayName="COMPRA" name="COMPRA" id="8">
  <tableColumns count="5">
    <tableColumn name="CANTIDAD" id="1"/>
    <tableColumn name="CUENTAS 1" id="2"/>
    <tableColumn name="CUENTAS 2" id="3"/>
    <tableColumn name="TASA DE CONVERSION" id="4"/>
    <tableColumn name="FECHA DE CREACION" id="5"/>
  </tableColumns>
  <tableStyleInfo name="COMPRA DE DOLARES-style" showColumnStripes="0" showFirstColumn="1" showLastColumn="1" showRowStripes="1"/>
</table>
</file>

<file path=xl/tables/table9.xml><?xml version="1.0" encoding="utf-8"?>
<table xmlns="http://schemas.openxmlformats.org/spreadsheetml/2006/main" ref="H1:J1000" displayName="Table_1" name="Table_1" id="9">
  <autoFilter ref="$H$1:$J$1000">
    <filterColumn colId="0">
      <filters>
        <filter val="Sun Mar 29 2026 00:00:00 GMT-0300 (hora estándar de Argentina)"/>
        <filter val="2025-dic"/>
        <filter val="Sat Apr 04 2026 00:00:00 GMT-0300 (hora estándar de Argentina)"/>
        <filter val="2026-mar"/>
        <filter val="2026-ene"/>
        <filter val="Fri Apr 03 2026 00:00:00 GMT-0300 (hora estándar de Argentina)"/>
        <filter val="Mon Mar 30 2026 00:00:00 GMT-0300 (hora estándar de Argentina)"/>
        <filter val="2026-feb"/>
        <filter val="Wed Apr 01 2026 00:00:00 GMT-0300 (hora estándar de Argentina)"/>
      </filters>
    </filterColumn>
  </autoFilter>
  <tableColumns count="3">
    <tableColumn name="FECHA DE CREACION - Año-Mes" id="1"/>
    <tableColumn name="CATEGORIA" id="2"/>
    <tableColumn name="SUM de CANTIDAD" id="3"/>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1.x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3.xml"/><Relationship Id="rId5" Type="http://schemas.openxmlformats.org/officeDocument/2006/relationships/table" Target="../tables/table4.xml"/><Relationship Id="rId6"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5.xml"/><Relationship Id="rId5"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7.xml"/><Relationship Id="rId5" Type="http://schemas.openxmlformats.org/officeDocument/2006/relationships/table" Target="../tables/table9.xml"/><Relationship Id="rId6"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3" max="3" width="15.25"/>
    <col customWidth="1" min="4" max="6" width="2.5"/>
    <col customWidth="1" min="9" max="9" width="3.13"/>
    <col customWidth="1" min="12" max="12" width="27.75"/>
    <col customWidth="1" min="13" max="13" width="3.13"/>
    <col customWidth="1" min="16" max="16" width="7.5"/>
    <col customWidth="1" min="17" max="17" width="28.25"/>
    <col customWidth="1" min="19" max="19" width="3.13"/>
    <col customWidth="1" min="22" max="22" width="2.75"/>
    <col customWidth="1" min="26" max="26" width="29.25"/>
    <col customWidth="1" min="28" max="28" width="16.5"/>
    <col customWidth="1" min="29" max="29" width="3.75"/>
    <col customWidth="1" min="33" max="33" width="25.5"/>
    <col customWidth="1" min="34" max="34" width="2.0"/>
    <col customWidth="1" min="37" max="37" width="14.38"/>
    <col customWidth="1" min="38" max="38" width="25.5"/>
    <col customWidth="1" min="39" max="39" width="2.0"/>
    <col customWidth="1" min="43" max="43" width="28.88"/>
    <col customWidth="1" min="44" max="44" width="15.88"/>
  </cols>
  <sheetData>
    <row r="1" ht="18.75" customHeight="1">
      <c r="A1" s="1" t="s">
        <v>0</v>
      </c>
      <c r="B1" s="1" t="s">
        <v>1</v>
      </c>
      <c r="C1" s="1" t="s">
        <v>2</v>
      </c>
      <c r="D1" s="2"/>
      <c r="E1" s="2"/>
      <c r="F1" s="3"/>
      <c r="G1" s="4" t="s">
        <v>3</v>
      </c>
      <c r="H1" s="5"/>
      <c r="I1" s="3"/>
      <c r="J1" s="6" t="s">
        <v>4</v>
      </c>
      <c r="K1" s="7"/>
      <c r="L1" s="8" t="s">
        <v>5</v>
      </c>
      <c r="M1" s="2"/>
      <c r="N1" s="9" t="s">
        <v>6</v>
      </c>
      <c r="O1" s="7"/>
      <c r="P1" s="10" t="s">
        <v>7</v>
      </c>
      <c r="Q1" s="11"/>
      <c r="R1" s="8" t="s">
        <v>8</v>
      </c>
      <c r="S1" s="2"/>
      <c r="T1" s="12" t="s">
        <v>9</v>
      </c>
      <c r="U1" s="13"/>
      <c r="V1" s="2"/>
      <c r="W1" s="14" t="s">
        <v>10</v>
      </c>
      <c r="X1" s="15"/>
      <c r="Y1" s="15"/>
      <c r="Z1" s="16"/>
      <c r="AA1" s="17" t="s">
        <v>11</v>
      </c>
      <c r="AD1" s="18" t="s">
        <v>12</v>
      </c>
      <c r="AE1" s="19"/>
      <c r="AF1" s="19"/>
      <c r="AG1" s="11"/>
      <c r="AH1" s="20"/>
      <c r="AI1" s="21" t="s">
        <v>13</v>
      </c>
      <c r="AJ1" s="19"/>
      <c r="AK1" s="19"/>
      <c r="AL1" s="11"/>
      <c r="AM1" s="22"/>
      <c r="AN1" s="23" t="s">
        <v>14</v>
      </c>
      <c r="AO1" s="19"/>
      <c r="AP1" s="19"/>
      <c r="AQ1" s="11"/>
      <c r="AR1" s="24"/>
    </row>
    <row r="2" ht="18.75" customHeight="1">
      <c r="A2" s="25" t="s">
        <v>15</v>
      </c>
      <c r="B2" s="26">
        <v>2436.170099999997</v>
      </c>
      <c r="C2" s="27"/>
      <c r="D2" s="2"/>
      <c r="E2" s="2"/>
      <c r="F2" s="2"/>
      <c r="G2" s="28" t="s">
        <v>16</v>
      </c>
      <c r="H2" s="29" t="s">
        <v>17</v>
      </c>
      <c r="I2" s="3"/>
      <c r="J2" s="30" t="s">
        <v>18</v>
      </c>
      <c r="K2" s="31" t="s">
        <v>19</v>
      </c>
      <c r="L2" s="32"/>
      <c r="M2" s="2"/>
      <c r="N2" s="30" t="s">
        <v>20</v>
      </c>
      <c r="O2" s="31" t="s">
        <v>19</v>
      </c>
      <c r="P2" s="33"/>
      <c r="Q2" s="34"/>
      <c r="R2" s="32"/>
      <c r="S2" s="2"/>
      <c r="T2" s="35" t="s">
        <v>21</v>
      </c>
      <c r="U2" s="36">
        <v>20.0</v>
      </c>
      <c r="V2" s="2"/>
      <c r="W2" s="37" t="s">
        <v>22</v>
      </c>
      <c r="X2" s="38" t="s">
        <v>23</v>
      </c>
      <c r="Y2" s="39"/>
      <c r="Z2" s="40" t="s">
        <v>7</v>
      </c>
      <c r="AA2" s="41"/>
      <c r="AD2" s="42" t="s">
        <v>24</v>
      </c>
      <c r="AE2" s="43" t="s">
        <v>25</v>
      </c>
      <c r="AF2" s="43" t="s">
        <v>19</v>
      </c>
      <c r="AG2" s="44" t="s">
        <v>7</v>
      </c>
      <c r="AH2" s="45"/>
      <c r="AI2" s="43" t="s">
        <v>24</v>
      </c>
      <c r="AJ2" s="43" t="s">
        <v>25</v>
      </c>
      <c r="AK2" s="43" t="s">
        <v>19</v>
      </c>
      <c r="AL2" s="43" t="s">
        <v>7</v>
      </c>
      <c r="AM2" s="46"/>
      <c r="AN2" s="42" t="s">
        <v>24</v>
      </c>
      <c r="AO2" s="43" t="s">
        <v>25</v>
      </c>
      <c r="AP2" s="43" t="s">
        <v>19</v>
      </c>
      <c r="AQ2" s="44" t="s">
        <v>7</v>
      </c>
      <c r="AR2" s="47"/>
    </row>
    <row r="3" ht="18.75" customHeight="1">
      <c r="A3" s="25" t="s">
        <v>26</v>
      </c>
      <c r="B3" s="48">
        <v>60000.0</v>
      </c>
      <c r="C3" s="49"/>
      <c r="D3" s="2"/>
      <c r="E3" s="2"/>
      <c r="F3" s="2"/>
      <c r="G3" s="50">
        <f>IFERROR(__xludf.DUMMYFUNCTION("VALUE(SUBSTITUTE(SUBSTITUTE(SUBSTITUTE(IMPORTXML(""https://www.infodolar.com/cotizacion-dolar-provincia-cordoba.aspx"", ""(//td[@class='colCompraVenta'])[position()=4]""), ""$"", """"), ""."", """"), "","", "".""))
"),1420.0)</f>
        <v>1420</v>
      </c>
      <c r="H3" s="51">
        <f>IFERROR(__xludf.DUMMYFUNCTION("VALUE(SUBSTITUTE(SUBSTITUTE(SUBSTITUTE(IMPORTXML(""https://www.infodolar.com/cotizacion-dolar-provincia-cordoba.aspx"", ""(//td[@class='colCompraVenta'])[position()=5]""), ""$"", """"), ""."", """"), "","", "".""))
"),1355.0)</f>
        <v>1355</v>
      </c>
      <c r="I3" s="2"/>
      <c r="J3" s="52">
        <f>K3*G6</f>
        <v>555000</v>
      </c>
      <c r="K3" s="53">
        <v>400.0</v>
      </c>
      <c r="L3" s="54" t="s">
        <v>27</v>
      </c>
      <c r="M3" s="2"/>
      <c r="N3" s="55">
        <f t="shared" ref="N3:N5" si="1">O3*$G$6</f>
        <v>111000</v>
      </c>
      <c r="O3" s="56">
        <v>80.0</v>
      </c>
      <c r="P3" s="56">
        <v>80.0</v>
      </c>
      <c r="Q3" s="57" t="s">
        <v>28</v>
      </c>
      <c r="R3" s="58" t="s">
        <v>29</v>
      </c>
      <c r="S3" s="2"/>
      <c r="T3" s="35" t="s">
        <v>30</v>
      </c>
      <c r="U3" s="59"/>
      <c r="V3" s="2"/>
      <c r="W3" s="60"/>
      <c r="X3" s="61" t="s">
        <v>18</v>
      </c>
      <c r="Y3" s="61" t="s">
        <v>31</v>
      </c>
      <c r="Z3" s="62"/>
      <c r="AA3" s="63">
        <v>600.0</v>
      </c>
      <c r="AB3" s="4" t="s">
        <v>32</v>
      </c>
      <c r="AC3" s="5"/>
      <c r="AD3" s="64">
        <v>5000.0</v>
      </c>
      <c r="AE3" s="65">
        <f t="shared" ref="AE3:AE28" si="2">AF3*$G$6</f>
        <v>387788.6405</v>
      </c>
      <c r="AF3" s="65">
        <f t="shared" ref="AF3:AF8" si="3">AD3/$AB$4</f>
        <v>279.4873085</v>
      </c>
      <c r="AG3" s="66" t="s">
        <v>33</v>
      </c>
      <c r="AH3" s="67"/>
      <c r="AI3" s="64">
        <v>2200.0</v>
      </c>
      <c r="AJ3" s="65">
        <f t="shared" ref="AJ3:AJ42" si="4">AK3*$G$6</f>
        <v>170627.0018</v>
      </c>
      <c r="AK3" s="65">
        <f t="shared" ref="AK3:AK42" si="5">AI3/$AB$4</f>
        <v>122.9744157</v>
      </c>
      <c r="AL3" s="68" t="s">
        <v>34</v>
      </c>
      <c r="AM3" s="69"/>
      <c r="AN3" s="64"/>
      <c r="AO3" s="65"/>
      <c r="AP3" s="65"/>
      <c r="AQ3" s="66"/>
      <c r="AR3" s="70"/>
    </row>
    <row r="4" ht="18.75" customHeight="1">
      <c r="A4" s="71" t="s">
        <v>35</v>
      </c>
      <c r="B4" s="48">
        <v>1645.2725</v>
      </c>
      <c r="C4" s="49">
        <f t="shared" ref="C4:C6" si="6">B4*$G$6</f>
        <v>2282815.594</v>
      </c>
      <c r="D4" s="2"/>
      <c r="E4" s="2"/>
      <c r="F4" s="3"/>
      <c r="G4" s="72" t="s">
        <v>36</v>
      </c>
      <c r="H4" s="73"/>
      <c r="I4" s="3"/>
      <c r="J4" s="74">
        <v>10000.0</v>
      </c>
      <c r="K4" s="65">
        <f>J4/$G$6</f>
        <v>7.207207207</v>
      </c>
      <c r="L4" s="75" t="s">
        <v>37</v>
      </c>
      <c r="M4" s="2"/>
      <c r="N4" s="76">
        <f t="shared" si="1"/>
        <v>839437.5</v>
      </c>
      <c r="O4" s="77">
        <v>605.0</v>
      </c>
      <c r="P4" s="77" t="s">
        <v>38</v>
      </c>
      <c r="Q4" s="78" t="s">
        <v>39</v>
      </c>
      <c r="R4" s="79" t="s">
        <v>40</v>
      </c>
      <c r="S4" s="2"/>
      <c r="T4" s="80" t="s">
        <v>41</v>
      </c>
      <c r="U4" s="81">
        <f>(U3*U2)/60</f>
        <v>0</v>
      </c>
      <c r="V4" s="2"/>
      <c r="W4" s="82">
        <v>1306.45</v>
      </c>
      <c r="X4" s="56">
        <v>70000.0</v>
      </c>
      <c r="Y4" s="83">
        <f t="shared" ref="Y4:Y12" si="7">X4/W4</f>
        <v>53.58031306</v>
      </c>
      <c r="Z4" s="84" t="s">
        <v>42</v>
      </c>
      <c r="AA4" s="85">
        <f t="shared" ref="AA4:AA12" si="8">AA3-Y4</f>
        <v>546.4196869</v>
      </c>
      <c r="AB4" s="86">
        <f>IFERROR(__xludf.DUMMYFUNCTION("VALUE(SUBSTITUTE(SUBSTITUTE(IMPORTXML(""https://www.google.com/finance/quote/USDT-MXN"",""//div[@class='YMlKec fxKbKc']""),"","",""""),""$"",""""))"),17.8899)</f>
        <v>17.8899</v>
      </c>
      <c r="AC4" s="34"/>
      <c r="AD4" s="64">
        <v>2000.0</v>
      </c>
      <c r="AE4" s="65">
        <f t="shared" si="2"/>
        <v>155115.4562</v>
      </c>
      <c r="AF4" s="65">
        <f t="shared" si="3"/>
        <v>111.7949234</v>
      </c>
      <c r="AG4" s="66" t="s">
        <v>43</v>
      </c>
      <c r="AH4" s="67"/>
      <c r="AI4" s="87">
        <v>74.5</v>
      </c>
      <c r="AJ4" s="88">
        <f t="shared" si="4"/>
        <v>5778.050744</v>
      </c>
      <c r="AK4" s="88">
        <f t="shared" si="5"/>
        <v>4.164360896</v>
      </c>
      <c r="AL4" s="89" t="s">
        <v>44</v>
      </c>
      <c r="AM4" s="90"/>
      <c r="AN4" s="87">
        <v>135.0</v>
      </c>
      <c r="AO4" s="88">
        <f t="shared" ref="AO4:AO6" si="9">AP4*$G$6</f>
        <v>10470.29329</v>
      </c>
      <c r="AP4" s="88">
        <f t="shared" ref="AP4:AP6" si="10">AN4/$AB$4</f>
        <v>7.546157329</v>
      </c>
      <c r="AQ4" s="89" t="s">
        <v>45</v>
      </c>
      <c r="AR4" s="24"/>
    </row>
    <row r="5" ht="18.75" customHeight="1">
      <c r="A5" s="71" t="s">
        <v>46</v>
      </c>
      <c r="B5" s="91">
        <v>600.0</v>
      </c>
      <c r="C5" s="49">
        <f t="shared" si="6"/>
        <v>832500</v>
      </c>
      <c r="D5" s="2"/>
      <c r="E5" s="2"/>
      <c r="F5" s="3"/>
      <c r="G5" s="92"/>
      <c r="H5" s="34"/>
      <c r="I5" s="3"/>
      <c r="J5" s="74"/>
      <c r="K5" s="65"/>
      <c r="L5" s="93"/>
      <c r="M5" s="2"/>
      <c r="N5" s="76">
        <f t="shared" si="1"/>
        <v>388500</v>
      </c>
      <c r="O5" s="77">
        <v>280.0</v>
      </c>
      <c r="P5" s="77">
        <v>280.0</v>
      </c>
      <c r="Q5" s="94" t="s">
        <v>47</v>
      </c>
      <c r="R5" s="79" t="s">
        <v>48</v>
      </c>
      <c r="S5" s="2"/>
      <c r="V5" s="2"/>
      <c r="W5" s="95">
        <v>1309.5</v>
      </c>
      <c r="X5" s="96">
        <v>70000.0</v>
      </c>
      <c r="Y5" s="97">
        <f t="shared" si="7"/>
        <v>53.45551737</v>
      </c>
      <c r="Z5" s="98" t="s">
        <v>49</v>
      </c>
      <c r="AA5" s="99">
        <f t="shared" si="8"/>
        <v>492.9641696</v>
      </c>
      <c r="AD5" s="87">
        <v>725.0</v>
      </c>
      <c r="AE5" s="88">
        <f t="shared" si="2"/>
        <v>56229.35288</v>
      </c>
      <c r="AF5" s="88">
        <f t="shared" si="3"/>
        <v>40.52565973</v>
      </c>
      <c r="AG5" s="89" t="s">
        <v>50</v>
      </c>
      <c r="AH5" s="67"/>
      <c r="AI5" s="64">
        <v>690.0</v>
      </c>
      <c r="AJ5" s="65">
        <f t="shared" si="4"/>
        <v>53514.83239</v>
      </c>
      <c r="AK5" s="65">
        <f t="shared" si="5"/>
        <v>38.56924857</v>
      </c>
      <c r="AL5" s="66" t="s">
        <v>51</v>
      </c>
      <c r="AM5" s="90"/>
      <c r="AN5" s="87">
        <v>600.0</v>
      </c>
      <c r="AO5" s="88">
        <f t="shared" si="9"/>
        <v>46534.63686</v>
      </c>
      <c r="AP5" s="88">
        <f t="shared" si="10"/>
        <v>33.53847702</v>
      </c>
      <c r="AQ5" s="100" t="s">
        <v>52</v>
      </c>
      <c r="AR5" s="101"/>
    </row>
    <row r="6" ht="18.75" customHeight="1">
      <c r="A6" s="71" t="s">
        <v>53</v>
      </c>
      <c r="B6" s="102">
        <f>O20</f>
        <v>965</v>
      </c>
      <c r="C6" s="103">
        <f t="shared" si="6"/>
        <v>1338937.5</v>
      </c>
      <c r="D6" s="2"/>
      <c r="E6" s="2"/>
      <c r="F6" s="104"/>
      <c r="G6" s="86">
        <f>(G3+H3)/2</f>
        <v>1387.5</v>
      </c>
      <c r="H6" s="34"/>
      <c r="I6" s="104"/>
      <c r="M6" s="2"/>
      <c r="N6" s="76"/>
      <c r="O6" s="105"/>
      <c r="P6" s="105"/>
      <c r="Q6" s="106"/>
      <c r="R6" s="107"/>
      <c r="S6" s="2"/>
      <c r="V6" s="2"/>
      <c r="W6" s="95">
        <v>1309.5</v>
      </c>
      <c r="X6" s="96">
        <v>30000.0</v>
      </c>
      <c r="Y6" s="97">
        <f t="shared" si="7"/>
        <v>22.90950745</v>
      </c>
      <c r="Z6" s="108" t="s">
        <v>54</v>
      </c>
      <c r="AA6" s="99">
        <f t="shared" si="8"/>
        <v>470.0546621</v>
      </c>
      <c r="AD6" s="109">
        <v>3000.0</v>
      </c>
      <c r="AE6" s="110">
        <f t="shared" si="2"/>
        <v>232673.1843</v>
      </c>
      <c r="AF6" s="110">
        <f t="shared" si="3"/>
        <v>167.6923851</v>
      </c>
      <c r="AG6" s="111" t="s">
        <v>55</v>
      </c>
      <c r="AH6" s="67"/>
      <c r="AI6" s="64">
        <v>31.0</v>
      </c>
      <c r="AJ6" s="65">
        <f t="shared" si="4"/>
        <v>2404.289571</v>
      </c>
      <c r="AK6" s="65">
        <f t="shared" si="5"/>
        <v>1.732821313</v>
      </c>
      <c r="AL6" s="66" t="s">
        <v>56</v>
      </c>
      <c r="AM6" s="90"/>
      <c r="AN6" s="87">
        <v>178.0</v>
      </c>
      <c r="AO6" s="88">
        <f t="shared" si="9"/>
        <v>13805.2756</v>
      </c>
      <c r="AP6" s="88">
        <f t="shared" si="10"/>
        <v>9.949748182</v>
      </c>
      <c r="AQ6" s="100" t="s">
        <v>57</v>
      </c>
      <c r="AR6" s="24"/>
    </row>
    <row r="7" ht="18.75" customHeight="1">
      <c r="D7" s="2"/>
      <c r="E7" s="2"/>
      <c r="F7" s="2"/>
      <c r="I7" s="2"/>
      <c r="J7" s="112"/>
      <c r="K7" s="65"/>
      <c r="L7" s="113"/>
      <c r="M7" s="2"/>
      <c r="N7" s="95"/>
      <c r="O7" s="74"/>
      <c r="P7" s="74"/>
      <c r="Q7" s="94"/>
      <c r="S7" s="2"/>
      <c r="V7" s="2"/>
      <c r="W7" s="95">
        <v>1362.58</v>
      </c>
      <c r="X7" s="96">
        <v>30000.0</v>
      </c>
      <c r="Y7" s="97">
        <f t="shared" si="7"/>
        <v>22.01705588</v>
      </c>
      <c r="Z7" s="108" t="s">
        <v>58</v>
      </c>
      <c r="AA7" s="99">
        <f t="shared" si="8"/>
        <v>448.0376062</v>
      </c>
      <c r="AD7" s="64">
        <v>500.0</v>
      </c>
      <c r="AE7" s="65">
        <f t="shared" si="2"/>
        <v>38778.86405</v>
      </c>
      <c r="AF7" s="65">
        <f t="shared" si="3"/>
        <v>27.94873085</v>
      </c>
      <c r="AG7" s="66" t="s">
        <v>59</v>
      </c>
      <c r="AH7" s="67"/>
      <c r="AI7" s="64">
        <v>31.0</v>
      </c>
      <c r="AJ7" s="65">
        <f t="shared" si="4"/>
        <v>2404.289571</v>
      </c>
      <c r="AK7" s="65">
        <f t="shared" si="5"/>
        <v>1.732821313</v>
      </c>
      <c r="AL7" s="66" t="s">
        <v>60</v>
      </c>
      <c r="AM7" s="90"/>
      <c r="AN7" s="64"/>
      <c r="AO7" s="65"/>
      <c r="AP7" s="88"/>
      <c r="AQ7" s="66"/>
      <c r="AR7" s="24"/>
    </row>
    <row r="8" ht="18.75" customHeight="1">
      <c r="D8" s="2"/>
      <c r="E8" s="2"/>
      <c r="F8" s="2"/>
      <c r="I8" s="2"/>
      <c r="M8" s="2"/>
      <c r="N8" s="76"/>
      <c r="O8" s="77"/>
      <c r="P8" s="77"/>
      <c r="Q8" s="114"/>
      <c r="R8" s="107"/>
      <c r="S8" s="2"/>
      <c r="V8" s="2"/>
      <c r="W8" s="95">
        <v>1379.5</v>
      </c>
      <c r="X8" s="96">
        <v>70000.0</v>
      </c>
      <c r="Y8" s="97">
        <f t="shared" si="7"/>
        <v>50.74302283</v>
      </c>
      <c r="Z8" s="108" t="s">
        <v>61</v>
      </c>
      <c r="AA8" s="99">
        <f t="shared" si="8"/>
        <v>397.2945834</v>
      </c>
      <c r="AD8" s="64">
        <v>300.0</v>
      </c>
      <c r="AE8" s="65">
        <f t="shared" si="2"/>
        <v>23267.31843</v>
      </c>
      <c r="AF8" s="65">
        <f t="shared" si="3"/>
        <v>16.76923851</v>
      </c>
      <c r="AG8" s="66" t="s">
        <v>62</v>
      </c>
      <c r="AH8" s="67"/>
      <c r="AI8" s="64">
        <v>46.0</v>
      </c>
      <c r="AJ8" s="65">
        <f t="shared" si="4"/>
        <v>3567.655493</v>
      </c>
      <c r="AK8" s="65">
        <f t="shared" si="5"/>
        <v>2.571283238</v>
      </c>
      <c r="AL8" s="66" t="s">
        <v>63</v>
      </c>
      <c r="AM8" s="90"/>
      <c r="AN8" s="64"/>
      <c r="AO8" s="65"/>
      <c r="AP8" s="65"/>
      <c r="AQ8" s="66"/>
      <c r="AR8" s="24"/>
    </row>
    <row r="9" ht="18.75" customHeight="1">
      <c r="A9" s="1"/>
      <c r="B9" s="1" t="s">
        <v>64</v>
      </c>
      <c r="C9" s="1" t="s">
        <v>65</v>
      </c>
      <c r="D9" s="2"/>
      <c r="E9" s="2"/>
      <c r="F9" s="2"/>
      <c r="I9" s="2"/>
      <c r="M9" s="2"/>
      <c r="N9" s="95"/>
      <c r="O9" s="77"/>
      <c r="P9" s="77"/>
      <c r="Q9" s="114"/>
      <c r="R9" s="115"/>
      <c r="S9" s="2"/>
      <c r="V9" s="2"/>
      <c r="W9" s="95">
        <v>1379.5</v>
      </c>
      <c r="X9" s="96">
        <v>20000.0</v>
      </c>
      <c r="Y9" s="97">
        <f t="shared" si="7"/>
        <v>14.49800652</v>
      </c>
      <c r="Z9" s="108" t="s">
        <v>66</v>
      </c>
      <c r="AA9" s="99">
        <f t="shared" si="8"/>
        <v>382.7965769</v>
      </c>
      <c r="AD9" s="64">
        <f>AF9*AB4</f>
        <v>17559.47355</v>
      </c>
      <c r="AE9" s="65">
        <f t="shared" si="2"/>
        <v>1361872.875</v>
      </c>
      <c r="AF9" s="116">
        <v>981.53</v>
      </c>
      <c r="AG9" s="117"/>
      <c r="AH9" s="67"/>
      <c r="AI9" s="64">
        <v>350.0</v>
      </c>
      <c r="AJ9" s="65">
        <f t="shared" si="4"/>
        <v>27145.20484</v>
      </c>
      <c r="AK9" s="65">
        <f t="shared" si="5"/>
        <v>19.56411159</v>
      </c>
      <c r="AL9" s="66" t="s">
        <v>67</v>
      </c>
      <c r="AM9" s="90"/>
      <c r="AN9" s="64"/>
      <c r="AO9" s="65"/>
      <c r="AP9" s="118"/>
      <c r="AQ9" s="119"/>
      <c r="AR9" s="24"/>
    </row>
    <row r="10" ht="17.25" customHeight="1">
      <c r="A10" s="120" t="s">
        <v>68</v>
      </c>
      <c r="B10" s="121">
        <f>SUM(B4:B6)</f>
        <v>3210.2725</v>
      </c>
      <c r="C10" s="122">
        <f>SUM(B4:B5)</f>
        <v>2245.2725</v>
      </c>
      <c r="D10" s="2"/>
      <c r="E10" s="2"/>
      <c r="F10" s="2"/>
      <c r="I10" s="2"/>
      <c r="M10" s="2"/>
      <c r="N10" s="76"/>
      <c r="O10" s="77"/>
      <c r="P10" s="77"/>
      <c r="Q10" s="123"/>
      <c r="R10" s="115"/>
      <c r="S10" s="2"/>
      <c r="V10" s="2"/>
      <c r="W10" s="95">
        <v>1400.0</v>
      </c>
      <c r="X10" s="96">
        <v>30000.0</v>
      </c>
      <c r="Y10" s="97">
        <f t="shared" si="7"/>
        <v>21.42857143</v>
      </c>
      <c r="Z10" s="108" t="s">
        <v>69</v>
      </c>
      <c r="AA10" s="99">
        <f t="shared" si="8"/>
        <v>361.3680055</v>
      </c>
      <c r="AD10" s="124"/>
      <c r="AE10" s="65">
        <f t="shared" si="2"/>
        <v>0</v>
      </c>
      <c r="AF10" s="65">
        <f t="shared" ref="AF10:AF28" si="11">AD10/$AB$4</f>
        <v>0</v>
      </c>
      <c r="AG10" s="117"/>
      <c r="AH10" s="67"/>
      <c r="AI10" s="64">
        <v>144.0</v>
      </c>
      <c r="AJ10" s="65">
        <f t="shared" si="4"/>
        <v>11168.31285</v>
      </c>
      <c r="AK10" s="65">
        <f t="shared" si="5"/>
        <v>8.049234484</v>
      </c>
      <c r="AL10" s="66" t="s">
        <v>70</v>
      </c>
      <c r="AM10" s="90"/>
      <c r="AN10" s="64"/>
      <c r="AO10" s="65"/>
      <c r="AP10" s="116"/>
      <c r="AQ10" s="66"/>
      <c r="AR10" s="24"/>
    </row>
    <row r="11" ht="17.25" customHeight="1">
      <c r="A11" s="125" t="s">
        <v>71</v>
      </c>
      <c r="B11" s="126">
        <f>SUM(B2:B3)</f>
        <v>62436.1701</v>
      </c>
      <c r="C11" s="127">
        <f>SUM(B2:B3)</f>
        <v>62436.1701</v>
      </c>
      <c r="D11" s="2"/>
      <c r="E11" s="2"/>
      <c r="F11" s="2"/>
      <c r="I11" s="2"/>
      <c r="M11" s="2"/>
      <c r="N11" s="76"/>
      <c r="O11" s="77"/>
      <c r="P11" s="77"/>
      <c r="Q11" s="123"/>
      <c r="R11" s="115"/>
      <c r="S11" s="2"/>
      <c r="V11" s="2"/>
      <c r="W11" s="95">
        <v>1483.0</v>
      </c>
      <c r="X11" s="96">
        <v>35000.0</v>
      </c>
      <c r="Y11" s="97">
        <f t="shared" si="7"/>
        <v>23.60080917</v>
      </c>
      <c r="Z11" s="108" t="s">
        <v>72</v>
      </c>
      <c r="AA11" s="99">
        <f t="shared" si="8"/>
        <v>337.7671963</v>
      </c>
      <c r="AD11" s="124"/>
      <c r="AE11" s="65">
        <f t="shared" si="2"/>
        <v>0</v>
      </c>
      <c r="AF11" s="65">
        <f t="shared" si="11"/>
        <v>0</v>
      </c>
      <c r="AG11" s="117"/>
      <c r="AH11" s="67"/>
      <c r="AI11" s="64">
        <v>150.0</v>
      </c>
      <c r="AJ11" s="65">
        <f t="shared" si="4"/>
        <v>11633.65922</v>
      </c>
      <c r="AK11" s="65">
        <f t="shared" si="5"/>
        <v>8.384619254</v>
      </c>
      <c r="AL11" s="66" t="s">
        <v>73</v>
      </c>
      <c r="AM11" s="90"/>
      <c r="AN11" s="64"/>
      <c r="AO11" s="65"/>
      <c r="AP11" s="116"/>
      <c r="AQ11" s="66"/>
      <c r="AR11" s="24"/>
    </row>
    <row r="12" ht="17.25" customHeight="1">
      <c r="D12" s="2"/>
      <c r="E12" s="2"/>
      <c r="F12" s="2"/>
      <c r="I12" s="2"/>
      <c r="L12" s="128"/>
      <c r="M12" s="2"/>
      <c r="N12" s="76"/>
      <c r="O12" s="77"/>
      <c r="P12" s="77"/>
      <c r="Q12" s="123"/>
      <c r="R12" s="115"/>
      <c r="S12" s="2"/>
      <c r="V12" s="2"/>
      <c r="W12" s="95">
        <v>1427.5</v>
      </c>
      <c r="X12" s="96">
        <v>70000.0</v>
      </c>
      <c r="Y12" s="97">
        <f t="shared" si="7"/>
        <v>49.03677758</v>
      </c>
      <c r="Z12" s="106" t="s">
        <v>74</v>
      </c>
      <c r="AA12" s="99">
        <f t="shared" si="8"/>
        <v>288.7304187</v>
      </c>
      <c r="AD12" s="124"/>
      <c r="AE12" s="65">
        <f t="shared" si="2"/>
        <v>0</v>
      </c>
      <c r="AF12" s="65">
        <f t="shared" si="11"/>
        <v>0</v>
      </c>
      <c r="AG12" s="117"/>
      <c r="AH12" s="67"/>
      <c r="AI12" s="64">
        <v>61.0</v>
      </c>
      <c r="AJ12" s="65">
        <f t="shared" si="4"/>
        <v>4731.021414</v>
      </c>
      <c r="AK12" s="65">
        <f t="shared" si="5"/>
        <v>3.409745163</v>
      </c>
      <c r="AL12" s="66" t="s">
        <v>75</v>
      </c>
      <c r="AM12" s="90"/>
      <c r="AN12" s="124"/>
      <c r="AO12" s="65"/>
      <c r="AP12" s="116"/>
      <c r="AQ12" s="66"/>
      <c r="AR12" s="128"/>
    </row>
    <row r="13" ht="17.25" customHeight="1">
      <c r="A13" s="129" t="s">
        <v>76</v>
      </c>
      <c r="B13" s="130">
        <f t="shared" ref="B13:C13" si="12">B10+(B11/$G$6)</f>
        <v>3255.271542</v>
      </c>
      <c r="C13" s="130">
        <f t="shared" si="12"/>
        <v>2290.271542</v>
      </c>
      <c r="D13" s="2"/>
      <c r="E13" s="2"/>
      <c r="F13" s="2"/>
      <c r="I13" s="2"/>
      <c r="L13" s="128"/>
      <c r="M13" s="2"/>
      <c r="N13" s="76"/>
      <c r="O13" s="77"/>
      <c r="P13" s="77"/>
      <c r="Q13" s="123"/>
      <c r="R13" s="115"/>
      <c r="S13" s="2"/>
      <c r="V13" s="2"/>
      <c r="W13" s="76"/>
      <c r="X13" s="97"/>
      <c r="Y13" s="97"/>
      <c r="Z13" s="108"/>
      <c r="AA13" s="131"/>
      <c r="AD13" s="124"/>
      <c r="AE13" s="65">
        <f t="shared" si="2"/>
        <v>0</v>
      </c>
      <c r="AF13" s="65">
        <f t="shared" si="11"/>
        <v>0</v>
      </c>
      <c r="AG13" s="117"/>
      <c r="AH13" s="67"/>
      <c r="AI13" s="64">
        <v>1722.0</v>
      </c>
      <c r="AJ13" s="65">
        <f t="shared" si="4"/>
        <v>133554.4078</v>
      </c>
      <c r="AK13" s="65">
        <f t="shared" si="5"/>
        <v>96.25542904</v>
      </c>
      <c r="AL13" s="66" t="s">
        <v>77</v>
      </c>
      <c r="AM13" s="90"/>
      <c r="AN13" s="124"/>
      <c r="AO13" s="116"/>
      <c r="AP13" s="116"/>
      <c r="AQ13" s="66"/>
      <c r="AR13" s="128"/>
    </row>
    <row r="14" ht="17.25" customHeight="1">
      <c r="A14" s="132"/>
      <c r="B14" s="133">
        <v>0.0</v>
      </c>
      <c r="C14" s="133"/>
      <c r="D14" s="2"/>
      <c r="E14" s="2"/>
      <c r="F14" s="2"/>
      <c r="I14" s="2"/>
      <c r="L14" s="128"/>
      <c r="M14" s="2"/>
      <c r="N14" s="76"/>
      <c r="O14" s="77"/>
      <c r="P14" s="77"/>
      <c r="Q14" s="123"/>
      <c r="R14" s="115"/>
      <c r="S14" s="2"/>
      <c r="V14" s="2"/>
      <c r="W14" s="76"/>
      <c r="X14" s="97"/>
      <c r="Y14" s="97"/>
      <c r="Z14" s="108"/>
      <c r="AA14" s="131"/>
      <c r="AD14" s="124"/>
      <c r="AE14" s="65">
        <f t="shared" si="2"/>
        <v>0</v>
      </c>
      <c r="AF14" s="65">
        <f t="shared" si="11"/>
        <v>0</v>
      </c>
      <c r="AG14" s="117"/>
      <c r="AH14" s="67"/>
      <c r="AI14" s="64">
        <v>500.0</v>
      </c>
      <c r="AJ14" s="65">
        <f t="shared" si="4"/>
        <v>38778.86405</v>
      </c>
      <c r="AK14" s="65">
        <f t="shared" si="5"/>
        <v>27.94873085</v>
      </c>
      <c r="AL14" s="66" t="s">
        <v>78</v>
      </c>
      <c r="AM14" s="90"/>
      <c r="AN14" s="124"/>
      <c r="AO14" s="65"/>
      <c r="AP14" s="65"/>
      <c r="AQ14" s="117"/>
      <c r="AR14" s="128"/>
    </row>
    <row r="15" ht="17.25" customHeight="1">
      <c r="A15" s="134" t="s">
        <v>79</v>
      </c>
      <c r="B15" s="135">
        <f t="shared" ref="B15:C15" si="13">B11+(B10*$G$6)</f>
        <v>4516689.264</v>
      </c>
      <c r="C15" s="135">
        <f t="shared" si="13"/>
        <v>3177751.764</v>
      </c>
      <c r="D15" s="2"/>
      <c r="E15" s="2"/>
      <c r="F15" s="2"/>
      <c r="I15" s="2"/>
      <c r="L15" s="128"/>
      <c r="M15" s="2"/>
      <c r="N15" s="76"/>
      <c r="O15" s="77"/>
      <c r="P15" s="77"/>
      <c r="Q15" s="123"/>
      <c r="R15" s="115"/>
      <c r="S15" s="2"/>
      <c r="V15" s="2"/>
      <c r="W15" s="76"/>
      <c r="X15" s="97"/>
      <c r="Y15" s="97"/>
      <c r="Z15" s="108"/>
      <c r="AA15" s="131"/>
      <c r="AD15" s="124"/>
      <c r="AE15" s="65">
        <f t="shared" si="2"/>
        <v>0</v>
      </c>
      <c r="AF15" s="65">
        <f t="shared" si="11"/>
        <v>0</v>
      </c>
      <c r="AG15" s="117"/>
      <c r="AH15" s="67"/>
      <c r="AI15" s="64">
        <v>200.0</v>
      </c>
      <c r="AJ15" s="65">
        <f t="shared" si="4"/>
        <v>15511.54562</v>
      </c>
      <c r="AK15" s="65">
        <f t="shared" si="5"/>
        <v>11.17949234</v>
      </c>
      <c r="AL15" s="66" t="s">
        <v>80</v>
      </c>
      <c r="AM15" s="90"/>
      <c r="AN15" s="124"/>
      <c r="AO15" s="65"/>
      <c r="AP15" s="65"/>
      <c r="AQ15" s="117"/>
      <c r="AR15" s="128"/>
    </row>
    <row r="16" ht="17.25" customHeight="1">
      <c r="D16" s="2"/>
      <c r="E16" s="2"/>
      <c r="F16" s="2"/>
      <c r="I16" s="2"/>
      <c r="J16" s="136"/>
      <c r="K16" s="137"/>
      <c r="L16" s="138"/>
      <c r="M16" s="2"/>
      <c r="N16" s="76"/>
      <c r="O16" s="77"/>
      <c r="P16" s="77"/>
      <c r="Q16" s="123"/>
      <c r="R16" s="115"/>
      <c r="S16" s="2"/>
      <c r="V16" s="2"/>
      <c r="W16" s="76"/>
      <c r="X16" s="97"/>
      <c r="Y16" s="97"/>
      <c r="Z16" s="108"/>
      <c r="AA16" s="131"/>
      <c r="AD16" s="124"/>
      <c r="AE16" s="65">
        <f t="shared" si="2"/>
        <v>0</v>
      </c>
      <c r="AF16" s="65">
        <f t="shared" si="11"/>
        <v>0</v>
      </c>
      <c r="AG16" s="117"/>
      <c r="AH16" s="67"/>
      <c r="AI16" s="64">
        <v>150.0</v>
      </c>
      <c r="AJ16" s="65">
        <f t="shared" si="4"/>
        <v>11633.65922</v>
      </c>
      <c r="AK16" s="65">
        <f t="shared" si="5"/>
        <v>8.384619254</v>
      </c>
      <c r="AL16" s="66" t="s">
        <v>81</v>
      </c>
      <c r="AM16" s="90"/>
      <c r="AN16" s="124"/>
      <c r="AO16" s="65"/>
      <c r="AP16" s="65"/>
      <c r="AQ16" s="117"/>
      <c r="AR16" s="128"/>
    </row>
    <row r="17" ht="17.25" customHeight="1">
      <c r="D17" s="2"/>
      <c r="E17" s="2"/>
      <c r="F17" s="2"/>
      <c r="I17" s="2"/>
      <c r="J17" s="136"/>
      <c r="K17" s="137"/>
      <c r="L17" s="138"/>
      <c r="M17" s="2"/>
      <c r="N17" s="76"/>
      <c r="O17" s="77"/>
      <c r="P17" s="77"/>
      <c r="Q17" s="123"/>
      <c r="R17" s="115"/>
      <c r="S17" s="2"/>
      <c r="V17" s="2"/>
      <c r="W17" s="139"/>
      <c r="X17" s="123"/>
      <c r="Y17" s="123"/>
      <c r="Z17" s="108"/>
      <c r="AA17" s="131"/>
      <c r="AD17" s="124"/>
      <c r="AE17" s="65">
        <f t="shared" si="2"/>
        <v>0</v>
      </c>
      <c r="AF17" s="65">
        <f t="shared" si="11"/>
        <v>0</v>
      </c>
      <c r="AG17" s="117"/>
      <c r="AH17" s="67"/>
      <c r="AI17" s="64">
        <v>7.0</v>
      </c>
      <c r="AJ17" s="65">
        <f t="shared" si="4"/>
        <v>542.9040967</v>
      </c>
      <c r="AK17" s="65">
        <f t="shared" si="5"/>
        <v>0.3912822319</v>
      </c>
      <c r="AL17" s="66" t="s">
        <v>82</v>
      </c>
      <c r="AM17" s="90"/>
      <c r="AN17" s="124"/>
      <c r="AO17" s="65"/>
      <c r="AP17" s="65"/>
      <c r="AQ17" s="117"/>
      <c r="AR17" s="128"/>
    </row>
    <row r="18" ht="17.25" customHeight="1">
      <c r="D18" s="2"/>
      <c r="E18" s="2"/>
      <c r="F18" s="2"/>
      <c r="I18" s="2"/>
      <c r="J18" s="136"/>
      <c r="K18" s="137"/>
      <c r="L18" s="138"/>
      <c r="M18" s="2"/>
      <c r="N18" s="76"/>
      <c r="O18" s="77"/>
      <c r="P18" s="77"/>
      <c r="Q18" s="123"/>
      <c r="R18" s="115"/>
      <c r="S18" s="2"/>
      <c r="V18" s="2"/>
      <c r="W18" s="139"/>
      <c r="X18" s="123"/>
      <c r="Y18" s="123"/>
      <c r="Z18" s="108"/>
      <c r="AA18" s="131"/>
      <c r="AD18" s="124"/>
      <c r="AE18" s="65">
        <f t="shared" si="2"/>
        <v>0</v>
      </c>
      <c r="AF18" s="65">
        <f t="shared" si="11"/>
        <v>0</v>
      </c>
      <c r="AG18" s="117"/>
      <c r="AH18" s="67"/>
      <c r="AI18" s="64">
        <v>35.0</v>
      </c>
      <c r="AJ18" s="65">
        <f t="shared" si="4"/>
        <v>2714.520484</v>
      </c>
      <c r="AK18" s="65">
        <f t="shared" si="5"/>
        <v>1.956411159</v>
      </c>
      <c r="AL18" s="66" t="s">
        <v>83</v>
      </c>
      <c r="AM18" s="90"/>
      <c r="AN18" s="124"/>
      <c r="AO18" s="65"/>
      <c r="AP18" s="65"/>
      <c r="AQ18" s="117"/>
      <c r="AR18" s="128"/>
    </row>
    <row r="19" ht="17.25" customHeight="1">
      <c r="D19" s="2"/>
      <c r="E19" s="2"/>
      <c r="F19" s="2"/>
      <c r="I19" s="2"/>
      <c r="J19" s="140"/>
      <c r="K19" s="141"/>
      <c r="L19" s="142"/>
      <c r="M19" s="2"/>
      <c r="N19" s="143"/>
      <c r="O19" s="77"/>
      <c r="P19" s="77"/>
      <c r="Q19" s="144"/>
      <c r="R19" s="145"/>
      <c r="S19" s="2"/>
      <c r="V19" s="2"/>
      <c r="W19" s="139"/>
      <c r="X19" s="123"/>
      <c r="Y19" s="123"/>
      <c r="Z19" s="108"/>
      <c r="AA19" s="131"/>
      <c r="AD19" s="124"/>
      <c r="AE19" s="65">
        <f t="shared" si="2"/>
        <v>0</v>
      </c>
      <c r="AF19" s="65">
        <f t="shared" si="11"/>
        <v>0</v>
      </c>
      <c r="AG19" s="117"/>
      <c r="AH19" s="67"/>
      <c r="AI19" s="87">
        <v>135.0</v>
      </c>
      <c r="AJ19" s="88">
        <f t="shared" si="4"/>
        <v>10470.29329</v>
      </c>
      <c r="AK19" s="88">
        <f t="shared" si="5"/>
        <v>7.546157329</v>
      </c>
      <c r="AL19" s="89" t="s">
        <v>45</v>
      </c>
      <c r="AM19" s="90"/>
      <c r="AN19" s="124"/>
      <c r="AO19" s="65"/>
      <c r="AP19" s="65"/>
      <c r="AQ19" s="117"/>
      <c r="AR19" s="128"/>
    </row>
    <row r="20" ht="17.25" customHeight="1">
      <c r="B20" s="146"/>
      <c r="D20" s="2"/>
      <c r="E20" s="2"/>
      <c r="F20" s="2"/>
      <c r="I20" s="2"/>
      <c r="J20" s="147">
        <f t="shared" ref="J20:K20" si="14">SUM(J3:J19)</f>
        <v>565000</v>
      </c>
      <c r="K20" s="147">
        <f t="shared" si="14"/>
        <v>407.2072072</v>
      </c>
      <c r="L20" s="148" t="s">
        <v>64</v>
      </c>
      <c r="M20" s="2"/>
      <c r="N20" s="149">
        <f t="shared" ref="N20:O20" si="15">SUM(N3:N19)</f>
        <v>1338937.5</v>
      </c>
      <c r="O20" s="149">
        <f t="shared" si="15"/>
        <v>965</v>
      </c>
      <c r="P20" s="150"/>
      <c r="Q20" s="151" t="s">
        <v>64</v>
      </c>
      <c r="R20" s="39"/>
      <c r="S20" s="2"/>
      <c r="V20" s="2"/>
      <c r="W20" s="139"/>
      <c r="X20" s="123"/>
      <c r="Y20" s="123"/>
      <c r="Z20" s="108"/>
      <c r="AA20" s="152"/>
      <c r="AB20" s="153" t="s">
        <v>84</v>
      </c>
      <c r="AD20" s="154"/>
      <c r="AE20" s="65">
        <f t="shared" si="2"/>
        <v>0</v>
      </c>
      <c r="AF20" s="65">
        <f t="shared" si="11"/>
        <v>0</v>
      </c>
      <c r="AG20" s="117"/>
      <c r="AH20" s="67"/>
      <c r="AI20" s="64">
        <v>35.5</v>
      </c>
      <c r="AJ20" s="65">
        <f t="shared" si="4"/>
        <v>2753.299348</v>
      </c>
      <c r="AK20" s="65">
        <f t="shared" si="5"/>
        <v>1.98435989</v>
      </c>
      <c r="AL20" s="66" t="s">
        <v>85</v>
      </c>
      <c r="AM20" s="90"/>
      <c r="AN20" s="124"/>
      <c r="AO20" s="65"/>
      <c r="AP20" s="65"/>
      <c r="AQ20" s="117"/>
      <c r="AR20" s="128"/>
    </row>
    <row r="21" ht="17.25" customHeight="1">
      <c r="B21" s="155"/>
      <c r="D21" s="2"/>
      <c r="E21" s="2"/>
      <c r="F21" s="2"/>
      <c r="I21" s="2"/>
      <c r="J21" s="2"/>
      <c r="K21" s="2"/>
      <c r="L21" s="2"/>
      <c r="M21" s="2"/>
      <c r="S21" s="2"/>
      <c r="V21" s="2"/>
      <c r="W21" s="156" t="s">
        <v>86</v>
      </c>
      <c r="X21" s="15"/>
      <c r="Y21" s="15"/>
      <c r="Z21" s="157"/>
      <c r="AA21" s="158">
        <f>AA3-(SUM(Y4:Y20))</f>
        <v>288.7304187</v>
      </c>
      <c r="AB21" s="159" t="s">
        <v>87</v>
      </c>
      <c r="AD21" s="154"/>
      <c r="AE21" s="65">
        <f t="shared" si="2"/>
        <v>0</v>
      </c>
      <c r="AF21" s="65">
        <f t="shared" si="11"/>
        <v>0</v>
      </c>
      <c r="AG21" s="117"/>
      <c r="AH21" s="67"/>
      <c r="AI21" s="64">
        <v>290.0</v>
      </c>
      <c r="AJ21" s="65">
        <f t="shared" si="4"/>
        <v>22491.74115</v>
      </c>
      <c r="AK21" s="65">
        <f t="shared" si="5"/>
        <v>16.21026389</v>
      </c>
      <c r="AL21" s="66" t="s">
        <v>88</v>
      </c>
      <c r="AM21" s="90"/>
      <c r="AN21" s="124"/>
      <c r="AO21" s="65"/>
      <c r="AP21" s="65"/>
      <c r="AQ21" s="117"/>
      <c r="AR21" s="128"/>
    </row>
    <row r="22" ht="17.25" customHeight="1">
      <c r="D22" s="2"/>
      <c r="E22" s="2"/>
      <c r="F22" s="2"/>
      <c r="I22" s="2"/>
      <c r="J22" s="160" t="s">
        <v>89</v>
      </c>
      <c r="K22" s="13"/>
      <c r="L22" s="161" t="s">
        <v>90</v>
      </c>
      <c r="M22" s="2"/>
      <c r="S22" s="2"/>
      <c r="V22" s="2"/>
      <c r="W22" s="162"/>
      <c r="X22" s="162"/>
      <c r="Y22" s="162"/>
      <c r="Z22" s="162"/>
      <c r="AA22" s="163" t="s">
        <v>91</v>
      </c>
      <c r="AB22" s="164">
        <f>SUM(Y4:Y8)+SUM(Y10:Y20)</f>
        <v>296.7715748</v>
      </c>
      <c r="AC22" s="165"/>
      <c r="AD22" s="166"/>
      <c r="AE22" s="65">
        <f t="shared" si="2"/>
        <v>0</v>
      </c>
      <c r="AF22" s="65">
        <f t="shared" si="11"/>
        <v>0</v>
      </c>
      <c r="AG22" s="167"/>
      <c r="AH22" s="90"/>
      <c r="AI22" s="64">
        <v>300.0</v>
      </c>
      <c r="AJ22" s="65">
        <f t="shared" si="4"/>
        <v>23267.31843</v>
      </c>
      <c r="AK22" s="65">
        <f t="shared" si="5"/>
        <v>16.76923851</v>
      </c>
      <c r="AL22" s="168" t="s">
        <v>92</v>
      </c>
      <c r="AM22" s="90"/>
      <c r="AN22" s="124"/>
      <c r="AO22" s="65"/>
      <c r="AP22" s="65"/>
      <c r="AQ22" s="117"/>
    </row>
    <row r="23" ht="17.25" customHeight="1">
      <c r="D23" s="2"/>
      <c r="E23" s="2"/>
      <c r="F23" s="2"/>
      <c r="I23" s="2"/>
      <c r="J23" s="169" t="s">
        <v>18</v>
      </c>
      <c r="K23" s="170" t="s">
        <v>19</v>
      </c>
      <c r="L23" s="171"/>
      <c r="M23" s="2"/>
      <c r="S23" s="2"/>
      <c r="V23" s="2"/>
      <c r="W23" s="162"/>
      <c r="X23" s="162"/>
      <c r="Y23" s="162"/>
      <c r="Z23" s="162"/>
      <c r="AA23" s="172">
        <v>53.58</v>
      </c>
      <c r="AB23" s="173">
        <f t="shared" ref="AB23:AB28" si="16">AB22-AA23</f>
        <v>243.1915748</v>
      </c>
      <c r="AC23" s="165"/>
      <c r="AD23" s="166"/>
      <c r="AE23" s="65">
        <f t="shared" si="2"/>
        <v>0</v>
      </c>
      <c r="AF23" s="65">
        <f t="shared" si="11"/>
        <v>0</v>
      </c>
      <c r="AG23" s="167"/>
      <c r="AH23" s="90"/>
      <c r="AI23" s="87">
        <v>600.0</v>
      </c>
      <c r="AJ23" s="88">
        <f t="shared" si="4"/>
        <v>46534.63686</v>
      </c>
      <c r="AK23" s="88">
        <f t="shared" si="5"/>
        <v>33.53847702</v>
      </c>
      <c r="AL23" s="100" t="s">
        <v>52</v>
      </c>
      <c r="AM23" s="90"/>
      <c r="AN23" s="124"/>
      <c r="AO23" s="65"/>
      <c r="AP23" s="65"/>
      <c r="AQ23" s="117"/>
    </row>
    <row r="24" ht="17.25" customHeight="1">
      <c r="D24" s="2"/>
      <c r="E24" s="2"/>
      <c r="F24" s="2"/>
      <c r="I24" s="2"/>
      <c r="J24" s="74">
        <v>10000.0</v>
      </c>
      <c r="K24" s="65">
        <f t="shared" ref="K24:K37" si="17">J24/$G$6</f>
        <v>7.207207207</v>
      </c>
      <c r="L24" s="75" t="s">
        <v>93</v>
      </c>
      <c r="M24" s="2"/>
      <c r="S24" s="2"/>
      <c r="V24" s="2"/>
      <c r="W24" s="174"/>
      <c r="X24" s="175"/>
      <c r="AA24" s="176">
        <v>23.11</v>
      </c>
      <c r="AB24" s="177">
        <f t="shared" si="16"/>
        <v>220.0815748</v>
      </c>
      <c r="AC24" s="165"/>
      <c r="AD24" s="166"/>
      <c r="AE24" s="65">
        <f t="shared" si="2"/>
        <v>0</v>
      </c>
      <c r="AF24" s="65">
        <f t="shared" si="11"/>
        <v>0</v>
      </c>
      <c r="AG24" s="167"/>
      <c r="AH24" s="90"/>
      <c r="AI24" s="64">
        <v>500.0</v>
      </c>
      <c r="AJ24" s="65">
        <f t="shared" si="4"/>
        <v>38778.86405</v>
      </c>
      <c r="AK24" s="65">
        <f t="shared" si="5"/>
        <v>27.94873085</v>
      </c>
      <c r="AL24" s="168" t="s">
        <v>94</v>
      </c>
      <c r="AM24" s="90"/>
      <c r="AN24" s="124"/>
      <c r="AO24" s="65"/>
      <c r="AP24" s="65"/>
      <c r="AQ24" s="117"/>
    </row>
    <row r="25" ht="17.25" customHeight="1">
      <c r="D25" s="2"/>
      <c r="E25" s="2"/>
      <c r="F25" s="2"/>
      <c r="I25" s="2"/>
      <c r="J25" s="74">
        <v>92519.0</v>
      </c>
      <c r="K25" s="65">
        <f t="shared" si="17"/>
        <v>66.68036036</v>
      </c>
      <c r="L25" s="93" t="s">
        <v>95</v>
      </c>
      <c r="M25" s="2"/>
      <c r="S25" s="2"/>
      <c r="V25" s="2"/>
      <c r="W25" s="174"/>
      <c r="X25" s="174"/>
      <c r="AA25" s="176">
        <v>23.0</v>
      </c>
      <c r="AB25" s="177">
        <f t="shared" si="16"/>
        <v>197.0815748</v>
      </c>
      <c r="AC25" s="165"/>
      <c r="AD25" s="166"/>
      <c r="AE25" s="65">
        <f t="shared" si="2"/>
        <v>0</v>
      </c>
      <c r="AF25" s="65">
        <f t="shared" si="11"/>
        <v>0</v>
      </c>
      <c r="AG25" s="167"/>
      <c r="AH25" s="90"/>
      <c r="AI25" s="64">
        <v>144.5</v>
      </c>
      <c r="AJ25" s="65">
        <f t="shared" si="4"/>
        <v>11207.09171</v>
      </c>
      <c r="AK25" s="65">
        <f t="shared" si="5"/>
        <v>8.077183215</v>
      </c>
      <c r="AL25" s="168" t="s">
        <v>96</v>
      </c>
      <c r="AM25" s="90"/>
      <c r="AN25" s="124"/>
      <c r="AO25" s="65"/>
      <c r="AP25" s="65"/>
      <c r="AQ25" s="117"/>
    </row>
    <row r="26" ht="17.25" customHeight="1">
      <c r="D26" s="2"/>
      <c r="E26" s="2"/>
      <c r="F26" s="2"/>
      <c r="I26" s="2"/>
      <c r="J26" s="116">
        <v>21000.0</v>
      </c>
      <c r="K26" s="65">
        <f t="shared" si="17"/>
        <v>15.13513514</v>
      </c>
      <c r="L26" s="24" t="s">
        <v>97</v>
      </c>
      <c r="M26" s="2"/>
      <c r="S26" s="2"/>
      <c r="V26" s="2"/>
      <c r="AA26" s="176">
        <v>30.0</v>
      </c>
      <c r="AB26" s="177">
        <f t="shared" si="16"/>
        <v>167.0815748</v>
      </c>
      <c r="AC26" s="165"/>
      <c r="AD26" s="166"/>
      <c r="AE26" s="65">
        <f t="shared" si="2"/>
        <v>0</v>
      </c>
      <c r="AF26" s="65">
        <f t="shared" si="11"/>
        <v>0</v>
      </c>
      <c r="AG26" s="167"/>
      <c r="AH26" s="90"/>
      <c r="AI26" s="64">
        <v>39.0</v>
      </c>
      <c r="AJ26" s="65">
        <f t="shared" si="4"/>
        <v>3024.751396</v>
      </c>
      <c r="AK26" s="65">
        <f t="shared" si="5"/>
        <v>2.180001006</v>
      </c>
      <c r="AL26" s="168" t="s">
        <v>98</v>
      </c>
      <c r="AM26" s="90"/>
      <c r="AN26" s="124"/>
      <c r="AO26" s="65"/>
      <c r="AP26" s="65"/>
      <c r="AQ26" s="117"/>
    </row>
    <row r="27" ht="17.25" customHeight="1">
      <c r="D27" s="2"/>
      <c r="E27" s="2"/>
      <c r="F27" s="2"/>
      <c r="I27" s="2"/>
      <c r="J27" s="116">
        <v>21000.0</v>
      </c>
      <c r="K27" s="65">
        <f t="shared" si="17"/>
        <v>15.13513514</v>
      </c>
      <c r="L27" s="24" t="s">
        <v>99</v>
      </c>
      <c r="M27" s="2"/>
      <c r="S27" s="2"/>
      <c r="V27" s="2"/>
      <c r="AA27" s="176">
        <v>7.28</v>
      </c>
      <c r="AB27" s="177">
        <f t="shared" si="16"/>
        <v>159.8015748</v>
      </c>
      <c r="AC27" s="165"/>
      <c r="AD27" s="166"/>
      <c r="AE27" s="65">
        <f t="shared" si="2"/>
        <v>0</v>
      </c>
      <c r="AF27" s="65">
        <f t="shared" si="11"/>
        <v>0</v>
      </c>
      <c r="AG27" s="167"/>
      <c r="AH27" s="90"/>
      <c r="AI27" s="64">
        <v>100.0</v>
      </c>
      <c r="AJ27" s="65">
        <f t="shared" si="4"/>
        <v>7755.77281</v>
      </c>
      <c r="AK27" s="65">
        <f t="shared" si="5"/>
        <v>5.58974617</v>
      </c>
      <c r="AL27" s="168" t="s">
        <v>100</v>
      </c>
      <c r="AM27" s="90"/>
      <c r="AN27" s="124"/>
      <c r="AO27" s="65"/>
      <c r="AP27" s="65"/>
      <c r="AQ27" s="117"/>
    </row>
    <row r="28" ht="17.25" customHeight="1">
      <c r="D28" s="2"/>
      <c r="E28" s="2"/>
      <c r="F28" s="2"/>
      <c r="I28" s="2"/>
      <c r="J28" s="116">
        <v>13500.0</v>
      </c>
      <c r="K28" s="65">
        <f t="shared" si="17"/>
        <v>9.72972973</v>
      </c>
      <c r="L28" s="24" t="s">
        <v>101</v>
      </c>
      <c r="M28" s="2"/>
      <c r="S28" s="2"/>
      <c r="V28" s="2"/>
      <c r="AA28" s="178">
        <v>17.04</v>
      </c>
      <c r="AB28" s="177">
        <f t="shared" si="16"/>
        <v>142.7615748</v>
      </c>
      <c r="AD28" s="166"/>
      <c r="AE28" s="65">
        <f t="shared" si="2"/>
        <v>0</v>
      </c>
      <c r="AF28" s="65">
        <f t="shared" si="11"/>
        <v>0</v>
      </c>
      <c r="AG28" s="167"/>
      <c r="AH28" s="90"/>
      <c r="AI28" s="87">
        <v>178.0</v>
      </c>
      <c r="AJ28" s="88">
        <f t="shared" si="4"/>
        <v>13805.2756</v>
      </c>
      <c r="AK28" s="88">
        <f t="shared" si="5"/>
        <v>9.949748182</v>
      </c>
      <c r="AL28" s="100" t="s">
        <v>57</v>
      </c>
      <c r="AM28" s="90"/>
      <c r="AN28" s="124"/>
      <c r="AO28" s="65"/>
      <c r="AP28" s="65"/>
      <c r="AQ28" s="117"/>
    </row>
    <row r="29" ht="17.25" customHeight="1">
      <c r="D29" s="2"/>
      <c r="E29" s="2"/>
      <c r="F29" s="2"/>
      <c r="I29" s="2"/>
      <c r="J29" s="178">
        <v>20000.0</v>
      </c>
      <c r="K29" s="65">
        <f t="shared" si="17"/>
        <v>14.41441441</v>
      </c>
      <c r="L29" s="113" t="s">
        <v>102</v>
      </c>
      <c r="M29" s="2"/>
      <c r="S29" s="2"/>
      <c r="V29" s="2"/>
      <c r="AA29" s="112"/>
      <c r="AB29" s="179"/>
      <c r="AD29" s="166"/>
      <c r="AG29" s="167"/>
      <c r="AH29" s="90"/>
      <c r="AI29" s="116">
        <v>1568.0</v>
      </c>
      <c r="AJ29" s="65">
        <f t="shared" si="4"/>
        <v>121610.5177</v>
      </c>
      <c r="AK29" s="65">
        <f t="shared" si="5"/>
        <v>87.64721994</v>
      </c>
      <c r="AL29" s="47" t="s">
        <v>103</v>
      </c>
      <c r="AM29" s="90"/>
      <c r="AN29" s="154"/>
      <c r="AO29" s="128"/>
      <c r="AP29" s="128"/>
      <c r="AQ29" s="167"/>
      <c r="AR29" s="47"/>
    </row>
    <row r="30" ht="17.25" customHeight="1">
      <c r="D30" s="2"/>
      <c r="E30" s="2"/>
      <c r="F30" s="2"/>
      <c r="I30" s="2"/>
      <c r="J30" s="178">
        <v>2000.0</v>
      </c>
      <c r="K30" s="65">
        <f t="shared" si="17"/>
        <v>1.441441441</v>
      </c>
      <c r="L30" s="113" t="s">
        <v>104</v>
      </c>
      <c r="M30" s="2"/>
      <c r="S30" s="2"/>
      <c r="V30" s="2"/>
      <c r="AA30" s="112"/>
      <c r="AB30" s="179"/>
      <c r="AD30" s="166"/>
      <c r="AG30" s="167"/>
      <c r="AH30" s="90"/>
      <c r="AJ30" s="65">
        <f t="shared" si="4"/>
        <v>0</v>
      </c>
      <c r="AK30" s="65">
        <f t="shared" si="5"/>
        <v>0</v>
      </c>
      <c r="AM30" s="90"/>
      <c r="AN30" s="154"/>
      <c r="AO30" s="128"/>
      <c r="AP30" s="128"/>
      <c r="AQ30" s="167"/>
    </row>
    <row r="31" ht="17.25" customHeight="1">
      <c r="D31" s="2"/>
      <c r="E31" s="2"/>
      <c r="F31" s="2"/>
      <c r="I31" s="2"/>
      <c r="J31" s="116">
        <v>8000.0</v>
      </c>
      <c r="K31" s="65">
        <f t="shared" si="17"/>
        <v>5.765765766</v>
      </c>
      <c r="L31" s="24" t="s">
        <v>105</v>
      </c>
      <c r="M31" s="2"/>
      <c r="S31" s="2"/>
      <c r="V31" s="2"/>
      <c r="AA31" s="112"/>
      <c r="AB31" s="179"/>
      <c r="AD31" s="166"/>
      <c r="AG31" s="167"/>
      <c r="AH31" s="90"/>
      <c r="AJ31" s="65">
        <f t="shared" si="4"/>
        <v>0</v>
      </c>
      <c r="AK31" s="65">
        <f t="shared" si="5"/>
        <v>0</v>
      </c>
      <c r="AM31" s="90"/>
      <c r="AN31" s="154"/>
      <c r="AO31" s="128"/>
      <c r="AP31" s="128"/>
      <c r="AQ31" s="167"/>
    </row>
    <row r="32" ht="17.25" customHeight="1">
      <c r="D32" s="2"/>
      <c r="E32" s="2"/>
      <c r="F32" s="2"/>
      <c r="I32" s="2"/>
      <c r="J32" s="178">
        <v>22300.0</v>
      </c>
      <c r="K32" s="65">
        <f t="shared" si="17"/>
        <v>16.07207207</v>
      </c>
      <c r="L32" s="113" t="s">
        <v>106</v>
      </c>
      <c r="M32" s="2"/>
      <c r="S32" s="2"/>
      <c r="V32" s="2"/>
      <c r="AA32" s="112"/>
      <c r="AB32" s="179"/>
      <c r="AD32" s="166"/>
      <c r="AG32" s="167"/>
      <c r="AH32" s="90"/>
      <c r="AJ32" s="65">
        <f t="shared" si="4"/>
        <v>0</v>
      </c>
      <c r="AK32" s="65">
        <f t="shared" si="5"/>
        <v>0</v>
      </c>
      <c r="AM32" s="90"/>
      <c r="AN32" s="154"/>
      <c r="AO32" s="128"/>
      <c r="AP32" s="128"/>
      <c r="AQ32" s="167"/>
    </row>
    <row r="33" ht="17.25" customHeight="1">
      <c r="D33" s="2"/>
      <c r="E33" s="2"/>
      <c r="F33" s="2"/>
      <c r="I33" s="2"/>
      <c r="J33" s="112"/>
      <c r="K33" s="65">
        <f t="shared" si="17"/>
        <v>0</v>
      </c>
      <c r="L33" s="128"/>
      <c r="M33" s="2"/>
      <c r="S33" s="2"/>
      <c r="V33" s="2"/>
      <c r="Z33" s="180"/>
      <c r="AA33" s="181">
        <f>SUM(AA23:AA32)</f>
        <v>154.01</v>
      </c>
      <c r="AB33" s="182">
        <f>AB22-SUM(AA23:AA32)</f>
        <v>142.7615748</v>
      </c>
      <c r="AD33" s="166"/>
      <c r="AG33" s="167"/>
      <c r="AH33" s="90"/>
      <c r="AJ33" s="65">
        <f t="shared" si="4"/>
        <v>0</v>
      </c>
      <c r="AK33" s="65">
        <f t="shared" si="5"/>
        <v>0</v>
      </c>
      <c r="AM33" s="90"/>
      <c r="AN33" s="154"/>
      <c r="AO33" s="128"/>
      <c r="AP33" s="128"/>
      <c r="AQ33" s="167"/>
    </row>
    <row r="34" ht="17.25" customHeight="1">
      <c r="D34" s="2"/>
      <c r="E34" s="2"/>
      <c r="F34" s="2"/>
      <c r="I34" s="2"/>
      <c r="J34" s="112"/>
      <c r="K34" s="65">
        <f t="shared" si="17"/>
        <v>0</v>
      </c>
      <c r="L34" s="183"/>
      <c r="M34" s="2"/>
      <c r="S34" s="2"/>
      <c r="V34" s="2"/>
      <c r="AA34" s="184" t="s">
        <v>107</v>
      </c>
      <c r="AB34" s="185" t="s">
        <v>108</v>
      </c>
      <c r="AD34" s="166"/>
      <c r="AG34" s="167"/>
      <c r="AH34" s="90"/>
      <c r="AJ34" s="65">
        <f t="shared" si="4"/>
        <v>0</v>
      </c>
      <c r="AK34" s="65">
        <f t="shared" si="5"/>
        <v>0</v>
      </c>
      <c r="AM34" s="90"/>
      <c r="AN34" s="154"/>
      <c r="AO34" s="128"/>
      <c r="AP34" s="128"/>
      <c r="AQ34" s="167"/>
    </row>
    <row r="35" ht="17.25" customHeight="1">
      <c r="D35" s="2"/>
      <c r="E35" s="2"/>
      <c r="F35" s="2"/>
      <c r="I35" s="2"/>
      <c r="J35" s="112"/>
      <c r="K35" s="65">
        <f t="shared" si="17"/>
        <v>0</v>
      </c>
      <c r="L35" s="183"/>
      <c r="M35" s="2"/>
      <c r="S35" s="2"/>
      <c r="V35" s="2"/>
      <c r="AD35" s="166"/>
      <c r="AG35" s="167"/>
      <c r="AH35" s="90"/>
      <c r="AJ35" s="65">
        <f t="shared" si="4"/>
        <v>0</v>
      </c>
      <c r="AK35" s="65">
        <f t="shared" si="5"/>
        <v>0</v>
      </c>
      <c r="AM35" s="90"/>
      <c r="AN35" s="154"/>
      <c r="AO35" s="128"/>
      <c r="AP35" s="128"/>
      <c r="AQ35" s="167"/>
    </row>
    <row r="36" ht="17.25" customHeight="1">
      <c r="D36" s="2"/>
      <c r="E36" s="2"/>
      <c r="F36" s="2"/>
      <c r="I36" s="2"/>
      <c r="J36" s="112"/>
      <c r="K36" s="65">
        <f t="shared" si="17"/>
        <v>0</v>
      </c>
      <c r="L36" s="183"/>
      <c r="M36" s="2"/>
      <c r="S36" s="2"/>
      <c r="V36" s="2"/>
      <c r="AD36" s="166"/>
      <c r="AG36" s="167"/>
      <c r="AH36" s="90"/>
      <c r="AJ36" s="65">
        <f t="shared" si="4"/>
        <v>0</v>
      </c>
      <c r="AK36" s="65">
        <f t="shared" si="5"/>
        <v>0</v>
      </c>
      <c r="AM36" s="90"/>
      <c r="AN36" s="154"/>
      <c r="AO36" s="128"/>
      <c r="AP36" s="128"/>
      <c r="AQ36" s="167"/>
    </row>
    <row r="37">
      <c r="D37" s="2"/>
      <c r="E37" s="2"/>
      <c r="F37" s="2"/>
      <c r="I37" s="2"/>
      <c r="J37" s="112"/>
      <c r="K37" s="65">
        <f t="shared" si="17"/>
        <v>0</v>
      </c>
      <c r="L37" s="183"/>
      <c r="M37" s="2"/>
      <c r="S37" s="2"/>
      <c r="V37" s="2"/>
      <c r="AD37" s="166"/>
      <c r="AG37" s="167"/>
      <c r="AH37" s="90"/>
      <c r="AJ37" s="65">
        <f t="shared" si="4"/>
        <v>0</v>
      </c>
      <c r="AK37" s="65">
        <f t="shared" si="5"/>
        <v>0</v>
      </c>
      <c r="AM37" s="90"/>
      <c r="AN37" s="154"/>
      <c r="AO37" s="128"/>
      <c r="AP37" s="128"/>
      <c r="AQ37" s="167"/>
    </row>
    <row r="38">
      <c r="D38" s="2"/>
      <c r="E38" s="2"/>
      <c r="F38" s="2"/>
      <c r="I38" s="2"/>
      <c r="J38" s="186">
        <f>SUM(J24:J37)</f>
        <v>210319</v>
      </c>
      <c r="K38" s="187">
        <f>J38/G6</f>
        <v>151.5812613</v>
      </c>
      <c r="L38" s="188" t="s">
        <v>64</v>
      </c>
      <c r="M38" s="2"/>
      <c r="S38" s="2"/>
      <c r="V38" s="2"/>
      <c r="AD38" s="166"/>
      <c r="AG38" s="167"/>
      <c r="AH38" s="90"/>
      <c r="AJ38" s="65">
        <f t="shared" si="4"/>
        <v>0</v>
      </c>
      <c r="AK38" s="65">
        <f t="shared" si="5"/>
        <v>0</v>
      </c>
      <c r="AM38" s="90"/>
      <c r="AN38" s="154"/>
      <c r="AO38" s="128"/>
      <c r="AP38" s="128"/>
      <c r="AQ38" s="167"/>
    </row>
    <row r="39">
      <c r="D39" s="2"/>
      <c r="E39" s="2"/>
      <c r="F39" s="2"/>
      <c r="I39" s="2"/>
      <c r="J39" s="2"/>
      <c r="K39" s="2"/>
      <c r="L39" s="2"/>
      <c r="M39" s="2"/>
      <c r="S39" s="2"/>
      <c r="V39" s="2"/>
      <c r="AD39" s="166"/>
      <c r="AG39" s="167"/>
      <c r="AH39" s="90"/>
      <c r="AJ39" s="65">
        <f t="shared" si="4"/>
        <v>0</v>
      </c>
      <c r="AK39" s="65">
        <f t="shared" si="5"/>
        <v>0</v>
      </c>
      <c r="AM39" s="90"/>
      <c r="AN39" s="154"/>
      <c r="AO39" s="128"/>
      <c r="AP39" s="128"/>
      <c r="AQ39" s="167"/>
    </row>
    <row r="40">
      <c r="D40" s="2"/>
      <c r="E40" s="2"/>
      <c r="F40" s="2"/>
      <c r="I40" s="2"/>
      <c r="J40" s="189">
        <f>J38-B11</f>
        <v>147882.8299</v>
      </c>
      <c r="K40" s="189">
        <f>J40/$G$6</f>
        <v>106.5822197</v>
      </c>
      <c r="L40" s="190" t="s">
        <v>109</v>
      </c>
      <c r="M40" s="2"/>
      <c r="S40" s="2"/>
      <c r="V40" s="2"/>
      <c r="AD40" s="166"/>
      <c r="AG40" s="167"/>
      <c r="AH40" s="90"/>
      <c r="AJ40" s="65">
        <f t="shared" si="4"/>
        <v>0</v>
      </c>
      <c r="AK40" s="65">
        <f t="shared" si="5"/>
        <v>0</v>
      </c>
      <c r="AM40" s="90"/>
      <c r="AN40" s="154"/>
      <c r="AO40" s="128"/>
      <c r="AP40" s="128"/>
      <c r="AQ40" s="167"/>
    </row>
    <row r="41">
      <c r="D41" s="2"/>
      <c r="E41" s="2"/>
      <c r="F41" s="2"/>
      <c r="I41" s="2"/>
      <c r="J41" s="191"/>
      <c r="K41" s="191"/>
      <c r="M41" s="2"/>
      <c r="S41" s="2"/>
      <c r="V41" s="2"/>
      <c r="AD41" s="166"/>
      <c r="AG41" s="167"/>
      <c r="AH41" s="90"/>
      <c r="AJ41" s="65">
        <f t="shared" si="4"/>
        <v>0</v>
      </c>
      <c r="AK41" s="65">
        <f t="shared" si="5"/>
        <v>0</v>
      </c>
      <c r="AM41" s="90"/>
      <c r="AN41" s="154"/>
      <c r="AO41" s="128"/>
      <c r="AP41" s="128"/>
      <c r="AQ41" s="167"/>
    </row>
    <row r="42">
      <c r="D42" s="2"/>
      <c r="E42" s="2"/>
      <c r="F42" s="2"/>
      <c r="I42" s="2"/>
      <c r="J42" s="191"/>
      <c r="K42" s="191"/>
      <c r="M42" s="2"/>
      <c r="S42" s="2"/>
      <c r="V42" s="2"/>
      <c r="AD42" s="166"/>
      <c r="AG42" s="167"/>
      <c r="AH42" s="90"/>
      <c r="AJ42" s="65">
        <f t="shared" si="4"/>
        <v>0</v>
      </c>
      <c r="AK42" s="65">
        <f t="shared" si="5"/>
        <v>0</v>
      </c>
      <c r="AM42" s="90"/>
      <c r="AN42" s="154"/>
      <c r="AO42" s="128"/>
      <c r="AP42" s="128"/>
      <c r="AQ42" s="167"/>
    </row>
    <row r="43">
      <c r="D43" s="2"/>
      <c r="E43" s="2"/>
      <c r="F43" s="2"/>
      <c r="I43" s="2"/>
      <c r="J43" s="191"/>
      <c r="K43" s="191"/>
      <c r="M43" s="2"/>
      <c r="S43" s="2"/>
      <c r="V43" s="2"/>
      <c r="AD43" s="192">
        <f t="shared" ref="AD43:AF43" si="18">SUM(AD3:AD28)</f>
        <v>29084.47355</v>
      </c>
      <c r="AE43" s="193">
        <f t="shared" si="18"/>
        <v>2255725.691</v>
      </c>
      <c r="AF43" s="193">
        <f t="shared" si="18"/>
        <v>1625.748246</v>
      </c>
      <c r="AG43" s="194" t="s">
        <v>110</v>
      </c>
      <c r="AH43" s="195"/>
      <c r="AI43" s="192">
        <f t="shared" ref="AI43:AK43" si="19">SUM(AI3:AI42)</f>
        <v>10281.5</v>
      </c>
      <c r="AJ43" s="193">
        <f t="shared" si="19"/>
        <v>797409.7815</v>
      </c>
      <c r="AK43" s="193">
        <f t="shared" si="19"/>
        <v>574.7097524</v>
      </c>
      <c r="AL43" s="194" t="s">
        <v>110</v>
      </c>
      <c r="AM43" s="195"/>
      <c r="AN43" s="192">
        <f>SUM(AN3:AN28)</f>
        <v>913</v>
      </c>
      <c r="AO43" s="193">
        <f t="shared" ref="AO43:AP43" si="20">SUM(AO3:AO42)</f>
        <v>70810.20576</v>
      </c>
      <c r="AP43" s="193">
        <f t="shared" si="20"/>
        <v>51.03438253</v>
      </c>
      <c r="AQ43" s="194" t="s">
        <v>110</v>
      </c>
    </row>
    <row r="44">
      <c r="D44" s="2"/>
      <c r="E44" s="2"/>
      <c r="F44" s="2"/>
      <c r="I44" s="2"/>
      <c r="J44" s="128"/>
      <c r="K44" s="128"/>
      <c r="M44" s="2"/>
      <c r="S44" s="2"/>
      <c r="V44" s="2"/>
      <c r="AH44" s="90"/>
      <c r="AM44" s="90"/>
    </row>
    <row r="45">
      <c r="D45" s="2"/>
      <c r="E45" s="2"/>
      <c r="F45" s="2"/>
      <c r="I45" s="2"/>
      <c r="J45" s="128"/>
      <c r="K45" s="128"/>
      <c r="M45" s="2"/>
      <c r="S45" s="2"/>
      <c r="V45" s="2"/>
      <c r="AD45" s="196" t="s">
        <v>111</v>
      </c>
      <c r="AH45" s="90"/>
      <c r="AI45" s="197" t="s">
        <v>65</v>
      </c>
      <c r="AJ45" s="198"/>
      <c r="AM45" s="90"/>
    </row>
    <row r="46">
      <c r="D46" s="2"/>
      <c r="E46" s="2"/>
      <c r="F46" s="2"/>
      <c r="I46" s="2"/>
      <c r="J46" s="128"/>
      <c r="K46" s="128"/>
      <c r="M46" s="2"/>
      <c r="S46" s="2"/>
      <c r="V46" s="2"/>
      <c r="AD46" s="196"/>
      <c r="AE46" s="196"/>
      <c r="AF46" s="196"/>
      <c r="AG46" s="196" t="s">
        <v>112</v>
      </c>
      <c r="AH46" s="90"/>
      <c r="AI46" s="199" t="s">
        <v>112</v>
      </c>
      <c r="AJ46" s="199" t="s">
        <v>19</v>
      </c>
      <c r="AK46" s="200" t="s">
        <v>113</v>
      </c>
      <c r="AM46" s="90"/>
    </row>
    <row r="47">
      <c r="D47" s="2"/>
      <c r="E47" s="2"/>
      <c r="F47" s="2"/>
      <c r="I47" s="2"/>
      <c r="J47" s="128"/>
      <c r="K47" s="128"/>
      <c r="M47" s="2"/>
      <c r="S47" s="2"/>
      <c r="V47" s="2"/>
      <c r="AF47" s="47" t="s">
        <v>114</v>
      </c>
      <c r="AG47" s="201">
        <f>AD43-AI43</f>
        <v>18802.97355</v>
      </c>
      <c r="AH47" s="90"/>
      <c r="AI47" s="202">
        <f>AG47-AK47</f>
        <v>17889.97355</v>
      </c>
      <c r="AJ47" s="203">
        <f>AI47/$AB$4</f>
        <v>1000.004111</v>
      </c>
      <c r="AK47" s="202">
        <f>SUM(AN3:AN8)</f>
        <v>913</v>
      </c>
      <c r="AM47" s="90"/>
    </row>
    <row r="48">
      <c r="D48" s="2"/>
      <c r="E48" s="2"/>
      <c r="F48" s="2"/>
      <c r="I48" s="2"/>
      <c r="J48" s="128"/>
      <c r="K48" s="128"/>
      <c r="M48" s="2"/>
      <c r="S48" s="2"/>
      <c r="V48" s="2"/>
      <c r="AD48" s="204"/>
      <c r="AE48" s="204"/>
      <c r="AF48" s="204"/>
      <c r="AG48" s="204"/>
      <c r="AH48" s="90"/>
      <c r="AM48" s="90"/>
    </row>
    <row r="49">
      <c r="D49" s="2"/>
      <c r="E49" s="2"/>
      <c r="F49" s="2"/>
      <c r="I49" s="2"/>
      <c r="J49" s="128"/>
      <c r="K49" s="128"/>
      <c r="M49" s="2"/>
      <c r="S49" s="2"/>
      <c r="V49" s="2"/>
      <c r="AH49" s="90"/>
      <c r="AM49" s="90"/>
    </row>
    <row r="50">
      <c r="D50" s="2"/>
      <c r="E50" s="2"/>
      <c r="F50" s="2"/>
      <c r="I50" s="2"/>
      <c r="J50" s="128"/>
      <c r="K50" s="128"/>
      <c r="M50" s="2"/>
      <c r="S50" s="2"/>
      <c r="V50" s="2"/>
      <c r="AD50" s="197" t="s">
        <v>115</v>
      </c>
      <c r="AE50" s="198"/>
      <c r="AF50" s="205">
        <f>1500-AF43+AF6</f>
        <v>41.94413904</v>
      </c>
      <c r="AG50" s="47" t="s">
        <v>19</v>
      </c>
      <c r="AH50" s="90"/>
      <c r="AM50" s="90"/>
    </row>
    <row r="51">
      <c r="D51" s="2"/>
      <c r="E51" s="2"/>
      <c r="F51" s="2"/>
      <c r="I51" s="2"/>
      <c r="J51" s="128"/>
      <c r="K51" s="128"/>
      <c r="M51" s="2"/>
      <c r="S51" s="2"/>
      <c r="V51" s="2"/>
      <c r="AH51" s="90"/>
      <c r="AM51" s="90"/>
    </row>
    <row r="52">
      <c r="D52" s="2"/>
      <c r="E52" s="2"/>
      <c r="F52" s="2"/>
      <c r="I52" s="2"/>
      <c r="M52" s="2"/>
      <c r="S52" s="2"/>
      <c r="V52" s="2"/>
      <c r="AH52" s="90"/>
      <c r="AM52" s="90"/>
    </row>
    <row r="53">
      <c r="D53" s="2"/>
      <c r="E53" s="2"/>
      <c r="F53" s="2"/>
      <c r="I53" s="2"/>
      <c r="M53" s="2"/>
      <c r="S53" s="2"/>
      <c r="V53" s="2"/>
      <c r="AH53" s="90"/>
      <c r="AM53" s="90"/>
    </row>
    <row r="54">
      <c r="D54" s="2"/>
      <c r="E54" s="2"/>
      <c r="F54" s="2"/>
      <c r="I54" s="2"/>
      <c r="M54" s="2"/>
      <c r="S54" s="2"/>
      <c r="V54" s="2"/>
      <c r="AH54" s="90"/>
      <c r="AM54" s="90"/>
    </row>
    <row r="55">
      <c r="D55" s="2"/>
      <c r="E55" s="2"/>
      <c r="F55" s="2"/>
      <c r="I55" s="2"/>
      <c r="M55" s="2"/>
      <c r="S55" s="2"/>
      <c r="V55" s="2"/>
      <c r="AH55" s="90"/>
      <c r="AM55" s="90"/>
    </row>
    <row r="56">
      <c r="D56" s="2"/>
      <c r="E56" s="2"/>
      <c r="F56" s="2"/>
      <c r="I56" s="2"/>
      <c r="M56" s="2"/>
      <c r="S56" s="2"/>
      <c r="V56" s="2"/>
      <c r="AH56" s="90"/>
      <c r="AM56" s="90"/>
    </row>
    <row r="57">
      <c r="D57" s="2"/>
      <c r="E57" s="2"/>
      <c r="F57" s="2"/>
      <c r="I57" s="2"/>
      <c r="M57" s="2"/>
      <c r="S57" s="2"/>
      <c r="V57" s="2"/>
      <c r="AH57" s="90"/>
      <c r="AM57" s="90"/>
    </row>
    <row r="58">
      <c r="D58" s="2"/>
      <c r="E58" s="2"/>
      <c r="F58" s="2"/>
      <c r="I58" s="2"/>
      <c r="M58" s="2"/>
      <c r="S58" s="2"/>
      <c r="V58" s="2"/>
      <c r="AH58" s="90"/>
      <c r="AM58" s="90"/>
    </row>
    <row r="59">
      <c r="D59" s="2"/>
      <c r="E59" s="2"/>
      <c r="F59" s="2"/>
      <c r="I59" s="2"/>
      <c r="M59" s="2"/>
      <c r="S59" s="2"/>
      <c r="V59" s="2"/>
      <c r="AH59" s="90"/>
      <c r="AM59" s="90"/>
    </row>
    <row r="60">
      <c r="D60" s="2"/>
      <c r="E60" s="2"/>
      <c r="F60" s="2"/>
      <c r="I60" s="2"/>
      <c r="M60" s="2"/>
      <c r="S60" s="2"/>
      <c r="V60" s="2"/>
      <c r="AH60" s="90"/>
      <c r="AM60" s="90"/>
    </row>
    <row r="61">
      <c r="D61" s="2"/>
      <c r="E61" s="2"/>
      <c r="F61" s="2"/>
      <c r="I61" s="2"/>
      <c r="M61" s="2"/>
      <c r="S61" s="2"/>
      <c r="V61" s="2"/>
      <c r="AH61" s="90"/>
      <c r="AM61" s="90"/>
    </row>
    <row r="62">
      <c r="D62" s="2"/>
      <c r="E62" s="2"/>
      <c r="F62" s="2"/>
      <c r="I62" s="2"/>
      <c r="M62" s="2"/>
      <c r="S62" s="2"/>
      <c r="V62" s="2"/>
      <c r="AH62" s="90"/>
      <c r="AM62" s="90"/>
    </row>
    <row r="63">
      <c r="D63" s="2"/>
      <c r="E63" s="2"/>
      <c r="F63" s="2"/>
      <c r="I63" s="2"/>
      <c r="M63" s="2"/>
      <c r="S63" s="2"/>
      <c r="V63" s="2"/>
      <c r="AH63" s="90"/>
      <c r="AM63" s="90"/>
    </row>
    <row r="64">
      <c r="D64" s="2"/>
      <c r="E64" s="2"/>
      <c r="F64" s="2"/>
      <c r="I64" s="2"/>
      <c r="M64" s="2"/>
      <c r="S64" s="2"/>
      <c r="V64" s="2"/>
      <c r="AH64" s="90"/>
      <c r="AM64" s="90"/>
    </row>
    <row r="65">
      <c r="D65" s="2"/>
      <c r="E65" s="2"/>
      <c r="F65" s="2"/>
      <c r="I65" s="2"/>
      <c r="M65" s="2"/>
      <c r="S65" s="2"/>
      <c r="V65" s="2"/>
      <c r="AH65" s="90"/>
      <c r="AM65" s="90"/>
    </row>
    <row r="66">
      <c r="D66" s="2"/>
      <c r="E66" s="2"/>
      <c r="F66" s="2"/>
      <c r="I66" s="2"/>
      <c r="M66" s="2"/>
      <c r="S66" s="2"/>
      <c r="V66" s="2"/>
      <c r="AH66" s="90"/>
      <c r="AM66" s="90"/>
    </row>
    <row r="67">
      <c r="D67" s="2"/>
      <c r="E67" s="2"/>
      <c r="F67" s="2"/>
      <c r="I67" s="2"/>
      <c r="M67" s="2"/>
      <c r="S67" s="2"/>
      <c r="V67" s="2"/>
      <c r="AH67" s="90"/>
      <c r="AM67" s="90"/>
    </row>
    <row r="68">
      <c r="D68" s="2"/>
      <c r="E68" s="2"/>
      <c r="F68" s="2"/>
      <c r="I68" s="2"/>
      <c r="M68" s="2"/>
      <c r="S68" s="2"/>
      <c r="V68" s="2"/>
      <c r="AH68" s="90"/>
      <c r="AM68" s="90"/>
    </row>
    <row r="69">
      <c r="D69" s="2"/>
      <c r="E69" s="2"/>
      <c r="F69" s="2"/>
      <c r="I69" s="2"/>
      <c r="M69" s="2"/>
      <c r="S69" s="2"/>
      <c r="V69" s="2"/>
      <c r="AH69" s="90"/>
      <c r="AM69" s="90"/>
    </row>
    <row r="70">
      <c r="D70" s="2"/>
      <c r="E70" s="2"/>
      <c r="F70" s="2"/>
      <c r="I70" s="2"/>
      <c r="M70" s="2"/>
      <c r="S70" s="2"/>
      <c r="V70" s="2"/>
      <c r="AH70" s="90"/>
      <c r="AM70" s="90"/>
    </row>
    <row r="71">
      <c r="D71" s="2"/>
      <c r="E71" s="2"/>
      <c r="F71" s="2"/>
      <c r="I71" s="2"/>
      <c r="M71" s="2"/>
      <c r="S71" s="2"/>
      <c r="V71" s="2"/>
      <c r="AH71" s="90"/>
      <c r="AM71" s="90"/>
    </row>
    <row r="72">
      <c r="D72" s="2"/>
      <c r="E72" s="2"/>
      <c r="F72" s="2"/>
      <c r="I72" s="2"/>
      <c r="M72" s="2"/>
      <c r="S72" s="2"/>
      <c r="V72" s="2"/>
      <c r="AH72" s="90"/>
      <c r="AM72" s="90"/>
    </row>
    <row r="73">
      <c r="D73" s="2"/>
      <c r="E73" s="2"/>
      <c r="F73" s="2"/>
      <c r="I73" s="2"/>
      <c r="M73" s="2"/>
      <c r="S73" s="2"/>
      <c r="V73" s="2"/>
      <c r="AH73" s="90"/>
      <c r="AM73" s="90"/>
    </row>
    <row r="74">
      <c r="D74" s="2"/>
      <c r="E74" s="2"/>
      <c r="F74" s="2"/>
      <c r="I74" s="2"/>
      <c r="M74" s="2"/>
      <c r="S74" s="2"/>
      <c r="V74" s="2"/>
      <c r="AH74" s="90"/>
      <c r="AM74" s="90"/>
    </row>
    <row r="75">
      <c r="D75" s="2"/>
      <c r="E75" s="2"/>
      <c r="F75" s="2"/>
      <c r="I75" s="2"/>
      <c r="M75" s="2"/>
      <c r="S75" s="2"/>
      <c r="V75" s="2"/>
      <c r="AH75" s="90"/>
      <c r="AM75" s="90"/>
    </row>
    <row r="76">
      <c r="D76" s="2"/>
      <c r="E76" s="2"/>
      <c r="F76" s="2"/>
      <c r="I76" s="2"/>
      <c r="M76" s="2"/>
      <c r="S76" s="2"/>
      <c r="V76" s="2"/>
      <c r="AH76" s="90"/>
      <c r="AM76" s="90"/>
    </row>
    <row r="77">
      <c r="D77" s="2"/>
      <c r="E77" s="2"/>
      <c r="F77" s="2"/>
      <c r="I77" s="2"/>
      <c r="M77" s="2"/>
      <c r="S77" s="2"/>
      <c r="V77" s="2"/>
      <c r="AH77" s="90"/>
      <c r="AM77" s="90"/>
    </row>
    <row r="78">
      <c r="D78" s="2"/>
      <c r="E78" s="2"/>
      <c r="F78" s="2"/>
      <c r="I78" s="2"/>
      <c r="M78" s="2"/>
      <c r="S78" s="2"/>
      <c r="V78" s="2"/>
      <c r="AH78" s="90"/>
      <c r="AM78" s="90"/>
    </row>
    <row r="79">
      <c r="D79" s="2"/>
      <c r="E79" s="2"/>
      <c r="F79" s="2"/>
      <c r="I79" s="2"/>
      <c r="M79" s="2"/>
      <c r="S79" s="2"/>
      <c r="V79" s="2"/>
      <c r="AH79" s="90"/>
      <c r="AM79" s="90"/>
    </row>
    <row r="80">
      <c r="D80" s="2"/>
      <c r="E80" s="2"/>
      <c r="F80" s="2"/>
      <c r="I80" s="2"/>
      <c r="M80" s="2"/>
      <c r="S80" s="2"/>
      <c r="V80" s="2"/>
      <c r="AH80" s="90"/>
      <c r="AM80" s="90"/>
    </row>
    <row r="81">
      <c r="D81" s="2"/>
      <c r="E81" s="2"/>
      <c r="F81" s="2"/>
      <c r="I81" s="2"/>
      <c r="M81" s="2"/>
      <c r="S81" s="2"/>
      <c r="V81" s="2"/>
      <c r="AH81" s="90"/>
      <c r="AM81" s="90"/>
    </row>
    <row r="82">
      <c r="D82" s="2"/>
      <c r="E82" s="2"/>
      <c r="F82" s="2"/>
      <c r="I82" s="2"/>
      <c r="M82" s="2"/>
      <c r="S82" s="2"/>
      <c r="V82" s="2"/>
      <c r="AH82" s="90"/>
      <c r="AM82" s="90"/>
    </row>
    <row r="83">
      <c r="D83" s="2"/>
      <c r="E83" s="2"/>
      <c r="F83" s="2"/>
      <c r="I83" s="2"/>
      <c r="M83" s="2"/>
      <c r="S83" s="2"/>
      <c r="V83" s="2"/>
      <c r="AH83" s="90"/>
      <c r="AM83" s="90"/>
    </row>
    <row r="84">
      <c r="D84" s="2"/>
      <c r="E84" s="2"/>
      <c r="F84" s="2"/>
      <c r="I84" s="2"/>
      <c r="M84" s="2"/>
      <c r="S84" s="2"/>
      <c r="V84" s="2"/>
      <c r="AH84" s="90"/>
      <c r="AM84" s="90"/>
    </row>
    <row r="85">
      <c r="D85" s="2"/>
      <c r="E85" s="2"/>
      <c r="F85" s="2"/>
      <c r="I85" s="2"/>
      <c r="M85" s="2"/>
      <c r="S85" s="2"/>
      <c r="V85" s="2"/>
      <c r="AH85" s="90"/>
      <c r="AM85" s="90"/>
    </row>
    <row r="86">
      <c r="D86" s="2"/>
      <c r="E86" s="2"/>
      <c r="F86" s="2"/>
      <c r="I86" s="2"/>
      <c r="M86" s="2"/>
      <c r="S86" s="2"/>
      <c r="V86" s="2"/>
      <c r="AH86" s="90"/>
      <c r="AM86" s="90"/>
    </row>
    <row r="87">
      <c r="D87" s="2"/>
      <c r="E87" s="2"/>
      <c r="F87" s="2"/>
      <c r="I87" s="2"/>
      <c r="M87" s="2"/>
      <c r="S87" s="2"/>
      <c r="V87" s="2"/>
      <c r="AH87" s="90"/>
      <c r="AM87" s="90"/>
    </row>
    <row r="88">
      <c r="D88" s="2"/>
      <c r="E88" s="2"/>
      <c r="F88" s="2"/>
      <c r="I88" s="2"/>
      <c r="M88" s="2"/>
      <c r="S88" s="2"/>
      <c r="V88" s="2"/>
      <c r="AH88" s="90"/>
      <c r="AM88" s="90"/>
    </row>
    <row r="89">
      <c r="D89" s="2"/>
      <c r="E89" s="2"/>
      <c r="F89" s="2"/>
      <c r="I89" s="2"/>
      <c r="M89" s="2"/>
      <c r="S89" s="2"/>
      <c r="V89" s="2"/>
      <c r="AH89" s="90"/>
      <c r="AM89" s="90"/>
    </row>
    <row r="90">
      <c r="D90" s="2"/>
      <c r="E90" s="2"/>
      <c r="F90" s="2"/>
      <c r="I90" s="2"/>
      <c r="M90" s="2"/>
      <c r="S90" s="2"/>
      <c r="V90" s="2"/>
      <c r="AH90" s="90"/>
      <c r="AM90" s="90"/>
    </row>
    <row r="91">
      <c r="D91" s="2"/>
      <c r="E91" s="2"/>
      <c r="F91" s="2"/>
      <c r="I91" s="2"/>
      <c r="M91" s="2"/>
      <c r="S91" s="2"/>
      <c r="V91" s="2"/>
      <c r="AH91" s="90"/>
      <c r="AM91" s="90"/>
    </row>
    <row r="92">
      <c r="D92" s="2"/>
      <c r="E92" s="2"/>
      <c r="F92" s="2"/>
      <c r="I92" s="2"/>
      <c r="M92" s="2"/>
      <c r="S92" s="2"/>
      <c r="V92" s="2"/>
      <c r="AH92" s="90"/>
      <c r="AM92" s="90"/>
    </row>
    <row r="93">
      <c r="D93" s="2"/>
      <c r="E93" s="2"/>
      <c r="F93" s="2"/>
      <c r="I93" s="2"/>
      <c r="M93" s="2"/>
      <c r="S93" s="2"/>
      <c r="V93" s="2"/>
      <c r="AH93" s="90"/>
      <c r="AM93" s="90"/>
    </row>
    <row r="94">
      <c r="D94" s="2"/>
      <c r="E94" s="2"/>
      <c r="F94" s="2"/>
      <c r="I94" s="2"/>
      <c r="M94" s="2"/>
      <c r="S94" s="2"/>
      <c r="V94" s="2"/>
      <c r="AH94" s="90"/>
      <c r="AM94" s="90"/>
    </row>
    <row r="95">
      <c r="D95" s="2"/>
      <c r="E95" s="2"/>
      <c r="F95" s="2"/>
      <c r="I95" s="2"/>
      <c r="M95" s="2"/>
      <c r="S95" s="2"/>
      <c r="V95" s="2"/>
      <c r="AH95" s="90"/>
      <c r="AM95" s="90"/>
    </row>
    <row r="96">
      <c r="D96" s="2"/>
      <c r="E96" s="2"/>
      <c r="F96" s="2"/>
      <c r="I96" s="2"/>
      <c r="M96" s="2"/>
      <c r="S96" s="2"/>
      <c r="V96" s="2"/>
      <c r="AH96" s="90"/>
      <c r="AM96" s="90"/>
    </row>
    <row r="97">
      <c r="D97" s="2"/>
      <c r="E97" s="2"/>
      <c r="F97" s="2"/>
      <c r="I97" s="2"/>
      <c r="M97" s="2"/>
      <c r="S97" s="2"/>
      <c r="V97" s="2"/>
      <c r="AH97" s="90"/>
      <c r="AM97" s="90"/>
    </row>
    <row r="98">
      <c r="D98" s="2"/>
      <c r="E98" s="2"/>
      <c r="F98" s="2"/>
      <c r="I98" s="2"/>
      <c r="M98" s="2"/>
      <c r="S98" s="2"/>
      <c r="V98" s="2"/>
      <c r="AH98" s="90"/>
      <c r="AM98" s="90"/>
    </row>
    <row r="99">
      <c r="D99" s="2"/>
      <c r="E99" s="2"/>
      <c r="F99" s="2"/>
      <c r="I99" s="2"/>
      <c r="M99" s="2"/>
      <c r="S99" s="2"/>
      <c r="V99" s="2"/>
      <c r="AH99" s="90"/>
      <c r="AM99" s="90"/>
    </row>
    <row r="100">
      <c r="D100" s="2"/>
      <c r="E100" s="2"/>
      <c r="F100" s="2"/>
      <c r="I100" s="2"/>
      <c r="M100" s="2"/>
      <c r="S100" s="2"/>
      <c r="V100" s="2"/>
      <c r="AH100" s="90"/>
      <c r="AM100" s="90"/>
    </row>
    <row r="101">
      <c r="D101" s="2"/>
      <c r="E101" s="2"/>
      <c r="F101" s="2"/>
      <c r="I101" s="2"/>
      <c r="M101" s="2"/>
      <c r="S101" s="2"/>
      <c r="V101" s="2"/>
      <c r="AH101" s="90"/>
      <c r="AM101" s="90"/>
    </row>
    <row r="102">
      <c r="D102" s="2"/>
      <c r="E102" s="2"/>
      <c r="F102" s="2"/>
      <c r="I102" s="2"/>
      <c r="M102" s="2"/>
      <c r="S102" s="2"/>
      <c r="V102" s="2"/>
      <c r="AH102" s="90"/>
      <c r="AM102" s="90"/>
    </row>
    <row r="103">
      <c r="D103" s="2"/>
      <c r="E103" s="2"/>
      <c r="F103" s="2"/>
      <c r="I103" s="2"/>
      <c r="M103" s="2"/>
      <c r="S103" s="2"/>
      <c r="V103" s="2"/>
      <c r="AH103" s="90"/>
      <c r="AM103" s="90"/>
    </row>
    <row r="104">
      <c r="D104" s="2"/>
      <c r="E104" s="2"/>
      <c r="F104" s="2"/>
      <c r="I104" s="2"/>
      <c r="M104" s="2"/>
      <c r="S104" s="2"/>
      <c r="V104" s="2"/>
      <c r="AH104" s="90"/>
      <c r="AM104" s="90"/>
    </row>
    <row r="105">
      <c r="D105" s="2"/>
      <c r="E105" s="2"/>
      <c r="F105" s="2"/>
      <c r="I105" s="2"/>
      <c r="M105" s="2"/>
      <c r="S105" s="2"/>
      <c r="V105" s="2"/>
      <c r="AH105" s="90"/>
      <c r="AM105" s="90"/>
    </row>
    <row r="106">
      <c r="D106" s="2"/>
      <c r="E106" s="2"/>
      <c r="F106" s="2"/>
      <c r="I106" s="2"/>
      <c r="M106" s="2"/>
      <c r="S106" s="2"/>
      <c r="V106" s="2"/>
      <c r="AH106" s="90"/>
      <c r="AM106" s="90"/>
    </row>
    <row r="107">
      <c r="D107" s="2"/>
      <c r="E107" s="2"/>
      <c r="F107" s="2"/>
      <c r="I107" s="2"/>
      <c r="M107" s="2"/>
      <c r="S107" s="2"/>
      <c r="V107" s="2"/>
      <c r="AH107" s="90"/>
      <c r="AM107" s="90"/>
    </row>
    <row r="108">
      <c r="D108" s="2"/>
      <c r="E108" s="2"/>
      <c r="F108" s="2"/>
      <c r="I108" s="2"/>
      <c r="M108" s="2"/>
      <c r="S108" s="2"/>
      <c r="V108" s="2"/>
      <c r="AH108" s="90"/>
      <c r="AM108" s="90"/>
    </row>
    <row r="109">
      <c r="D109" s="2"/>
      <c r="E109" s="2"/>
      <c r="F109" s="2"/>
      <c r="I109" s="2"/>
      <c r="M109" s="2"/>
      <c r="S109" s="2"/>
      <c r="V109" s="2"/>
      <c r="AH109" s="90"/>
      <c r="AM109" s="90"/>
    </row>
    <row r="110">
      <c r="D110" s="2"/>
      <c r="E110" s="2"/>
      <c r="F110" s="2"/>
      <c r="I110" s="2"/>
      <c r="M110" s="2"/>
      <c r="S110" s="2"/>
      <c r="V110" s="2"/>
      <c r="AH110" s="90"/>
      <c r="AM110" s="90"/>
    </row>
    <row r="111">
      <c r="D111" s="2"/>
      <c r="E111" s="2"/>
      <c r="F111" s="2"/>
      <c r="I111" s="2"/>
      <c r="M111" s="2"/>
      <c r="S111" s="2"/>
      <c r="V111" s="2"/>
      <c r="AH111" s="90"/>
      <c r="AM111" s="90"/>
    </row>
    <row r="112">
      <c r="D112" s="2"/>
      <c r="E112" s="2"/>
      <c r="F112" s="2"/>
      <c r="I112" s="2"/>
      <c r="M112" s="2"/>
      <c r="S112" s="2"/>
      <c r="V112" s="2"/>
      <c r="AH112" s="90"/>
      <c r="AM112" s="90"/>
    </row>
    <row r="113">
      <c r="D113" s="2"/>
      <c r="E113" s="2"/>
      <c r="F113" s="2"/>
      <c r="I113" s="2"/>
      <c r="M113" s="2"/>
      <c r="S113" s="2"/>
      <c r="V113" s="2"/>
      <c r="AH113" s="90"/>
      <c r="AM113" s="90"/>
    </row>
    <row r="114">
      <c r="D114" s="2"/>
      <c r="E114" s="2"/>
      <c r="F114" s="2"/>
      <c r="I114" s="2"/>
      <c r="M114" s="2"/>
      <c r="S114" s="2"/>
      <c r="V114" s="2"/>
      <c r="AH114" s="90"/>
      <c r="AM114" s="90"/>
    </row>
    <row r="115">
      <c r="D115" s="2"/>
      <c r="E115" s="2"/>
      <c r="F115" s="2"/>
      <c r="I115" s="2"/>
      <c r="M115" s="2"/>
      <c r="S115" s="2"/>
      <c r="V115" s="2"/>
      <c r="AH115" s="90"/>
      <c r="AM115" s="90"/>
    </row>
    <row r="116">
      <c r="D116" s="2"/>
      <c r="E116" s="2"/>
      <c r="F116" s="2"/>
      <c r="I116" s="2"/>
      <c r="M116" s="2"/>
      <c r="S116" s="2"/>
      <c r="V116" s="2"/>
      <c r="AH116" s="90"/>
      <c r="AM116" s="90"/>
    </row>
    <row r="117">
      <c r="D117" s="2"/>
      <c r="E117" s="2"/>
      <c r="F117" s="2"/>
      <c r="I117" s="2"/>
      <c r="M117" s="2"/>
      <c r="S117" s="2"/>
      <c r="V117" s="2"/>
      <c r="AH117" s="90"/>
      <c r="AM117" s="90"/>
    </row>
    <row r="118">
      <c r="D118" s="2"/>
      <c r="E118" s="2"/>
      <c r="F118" s="2"/>
      <c r="I118" s="2"/>
      <c r="M118" s="2"/>
      <c r="S118" s="2"/>
      <c r="V118" s="2"/>
      <c r="AH118" s="90"/>
      <c r="AM118" s="90"/>
    </row>
    <row r="119">
      <c r="D119" s="2"/>
      <c r="E119" s="2"/>
      <c r="F119" s="2"/>
      <c r="I119" s="2"/>
      <c r="M119" s="2"/>
      <c r="S119" s="2"/>
      <c r="V119" s="2"/>
      <c r="AH119" s="90"/>
      <c r="AM119" s="90"/>
    </row>
    <row r="120">
      <c r="D120" s="2"/>
      <c r="E120" s="2"/>
      <c r="F120" s="2"/>
      <c r="I120" s="2"/>
      <c r="M120" s="2"/>
      <c r="S120" s="2"/>
      <c r="V120" s="2"/>
      <c r="AH120" s="90"/>
      <c r="AM120" s="90"/>
    </row>
    <row r="121">
      <c r="D121" s="2"/>
      <c r="E121" s="2"/>
      <c r="F121" s="2"/>
      <c r="I121" s="2"/>
      <c r="M121" s="2"/>
      <c r="S121" s="2"/>
      <c r="V121" s="2"/>
      <c r="AH121" s="90"/>
      <c r="AM121" s="90"/>
    </row>
    <row r="122">
      <c r="D122" s="2"/>
      <c r="E122" s="2"/>
      <c r="F122" s="2"/>
      <c r="I122" s="2"/>
      <c r="M122" s="2"/>
      <c r="S122" s="2"/>
      <c r="V122" s="2"/>
      <c r="AH122" s="90"/>
      <c r="AM122" s="90"/>
    </row>
    <row r="123">
      <c r="D123" s="2"/>
      <c r="E123" s="2"/>
      <c r="F123" s="2"/>
      <c r="I123" s="2"/>
      <c r="M123" s="2"/>
      <c r="S123" s="2"/>
      <c r="V123" s="2"/>
      <c r="AH123" s="90"/>
      <c r="AM123" s="90"/>
    </row>
    <row r="124">
      <c r="D124" s="2"/>
      <c r="E124" s="2"/>
      <c r="F124" s="2"/>
      <c r="I124" s="2"/>
      <c r="M124" s="2"/>
      <c r="S124" s="2"/>
      <c r="V124" s="2"/>
      <c r="AH124" s="90"/>
      <c r="AM124" s="90"/>
    </row>
    <row r="125">
      <c r="D125" s="2"/>
      <c r="E125" s="2"/>
      <c r="F125" s="2"/>
      <c r="I125" s="2"/>
      <c r="M125" s="2"/>
      <c r="S125" s="2"/>
      <c r="V125" s="2"/>
      <c r="AH125" s="90"/>
      <c r="AM125" s="90"/>
    </row>
    <row r="126">
      <c r="D126" s="2"/>
      <c r="E126" s="2"/>
      <c r="F126" s="2"/>
      <c r="I126" s="2"/>
      <c r="M126" s="2"/>
      <c r="S126" s="2"/>
      <c r="V126" s="2"/>
      <c r="AH126" s="90"/>
      <c r="AM126" s="90"/>
    </row>
    <row r="127">
      <c r="D127" s="2"/>
      <c r="E127" s="2"/>
      <c r="F127" s="2"/>
      <c r="I127" s="2"/>
      <c r="M127" s="2"/>
      <c r="S127" s="2"/>
      <c r="V127" s="2"/>
      <c r="AH127" s="90"/>
      <c r="AM127" s="90"/>
    </row>
    <row r="128">
      <c r="D128" s="2"/>
      <c r="E128" s="2"/>
      <c r="F128" s="2"/>
      <c r="I128" s="2"/>
      <c r="M128" s="2"/>
      <c r="S128" s="2"/>
      <c r="V128" s="2"/>
      <c r="AH128" s="90"/>
      <c r="AM128" s="90"/>
    </row>
    <row r="129">
      <c r="D129" s="2"/>
      <c r="E129" s="2"/>
      <c r="F129" s="2"/>
      <c r="I129" s="2"/>
      <c r="M129" s="2"/>
      <c r="S129" s="2"/>
      <c r="V129" s="2"/>
      <c r="AH129" s="90"/>
      <c r="AM129" s="90"/>
    </row>
    <row r="130">
      <c r="D130" s="2"/>
      <c r="E130" s="2"/>
      <c r="F130" s="2"/>
      <c r="I130" s="2"/>
      <c r="M130" s="2"/>
      <c r="S130" s="2"/>
      <c r="V130" s="2"/>
      <c r="AH130" s="90"/>
      <c r="AM130" s="90"/>
    </row>
    <row r="131">
      <c r="D131" s="2"/>
      <c r="E131" s="2"/>
      <c r="F131" s="2"/>
      <c r="I131" s="2"/>
      <c r="M131" s="2"/>
      <c r="S131" s="2"/>
      <c r="V131" s="2"/>
      <c r="AH131" s="90"/>
      <c r="AM131" s="90"/>
    </row>
    <row r="132">
      <c r="D132" s="2"/>
      <c r="E132" s="2"/>
      <c r="F132" s="2"/>
      <c r="I132" s="2"/>
      <c r="M132" s="2"/>
      <c r="S132" s="2"/>
      <c r="V132" s="2"/>
      <c r="AH132" s="90"/>
      <c r="AM132" s="90"/>
    </row>
    <row r="133">
      <c r="D133" s="2"/>
      <c r="E133" s="2"/>
      <c r="F133" s="2"/>
      <c r="I133" s="2"/>
      <c r="M133" s="2"/>
      <c r="S133" s="2"/>
      <c r="V133" s="2"/>
      <c r="AH133" s="90"/>
      <c r="AM133" s="90"/>
    </row>
    <row r="134">
      <c r="D134" s="2"/>
      <c r="E134" s="2"/>
      <c r="F134" s="2"/>
      <c r="I134" s="2"/>
      <c r="M134" s="2"/>
      <c r="S134" s="2"/>
      <c r="V134" s="2"/>
      <c r="AH134" s="90"/>
      <c r="AM134" s="90"/>
    </row>
    <row r="135">
      <c r="D135" s="2"/>
      <c r="E135" s="2"/>
      <c r="F135" s="2"/>
      <c r="I135" s="2"/>
      <c r="M135" s="2"/>
      <c r="S135" s="2"/>
      <c r="V135" s="2"/>
      <c r="AH135" s="90"/>
      <c r="AM135" s="90"/>
    </row>
    <row r="136">
      <c r="D136" s="2"/>
      <c r="E136" s="2"/>
      <c r="F136" s="2"/>
      <c r="I136" s="2"/>
      <c r="M136" s="2"/>
      <c r="S136" s="2"/>
      <c r="V136" s="2"/>
      <c r="AH136" s="90"/>
      <c r="AM136" s="90"/>
    </row>
    <row r="137">
      <c r="D137" s="2"/>
      <c r="E137" s="2"/>
      <c r="F137" s="2"/>
      <c r="I137" s="2"/>
      <c r="M137" s="2"/>
      <c r="S137" s="2"/>
      <c r="V137" s="2"/>
      <c r="AH137" s="90"/>
      <c r="AM137" s="90"/>
    </row>
    <row r="138">
      <c r="D138" s="2"/>
      <c r="E138" s="2"/>
      <c r="F138" s="2"/>
      <c r="I138" s="2"/>
      <c r="M138" s="2"/>
      <c r="S138" s="2"/>
      <c r="V138" s="2"/>
      <c r="AH138" s="90"/>
      <c r="AM138" s="90"/>
    </row>
    <row r="139">
      <c r="D139" s="2"/>
      <c r="E139" s="2"/>
      <c r="F139" s="2"/>
      <c r="I139" s="2"/>
      <c r="M139" s="2"/>
      <c r="S139" s="2"/>
      <c r="V139" s="2"/>
      <c r="AH139" s="90"/>
      <c r="AM139" s="90"/>
    </row>
    <row r="140">
      <c r="D140" s="2"/>
      <c r="E140" s="2"/>
      <c r="F140" s="2"/>
      <c r="I140" s="2"/>
      <c r="M140" s="2"/>
      <c r="S140" s="2"/>
      <c r="V140" s="2"/>
      <c r="AH140" s="90"/>
      <c r="AM140" s="90"/>
    </row>
    <row r="141">
      <c r="D141" s="2"/>
      <c r="E141" s="2"/>
      <c r="F141" s="2"/>
      <c r="I141" s="2"/>
      <c r="M141" s="2"/>
      <c r="S141" s="2"/>
      <c r="V141" s="2"/>
      <c r="AH141" s="90"/>
      <c r="AM141" s="90"/>
    </row>
    <row r="142">
      <c r="D142" s="2"/>
      <c r="E142" s="2"/>
      <c r="F142" s="2"/>
      <c r="I142" s="2"/>
      <c r="M142" s="2"/>
      <c r="S142" s="2"/>
      <c r="V142" s="2"/>
      <c r="AH142" s="90"/>
      <c r="AM142" s="90"/>
    </row>
    <row r="143">
      <c r="D143" s="2"/>
      <c r="E143" s="2"/>
      <c r="F143" s="2"/>
      <c r="I143" s="2"/>
      <c r="M143" s="2"/>
      <c r="S143" s="2"/>
      <c r="V143" s="2"/>
      <c r="AH143" s="90"/>
      <c r="AM143" s="90"/>
    </row>
    <row r="144">
      <c r="D144" s="2"/>
      <c r="E144" s="2"/>
      <c r="F144" s="2"/>
      <c r="I144" s="2"/>
      <c r="M144" s="2"/>
      <c r="S144" s="2"/>
      <c r="V144" s="2"/>
      <c r="AH144" s="90"/>
      <c r="AM144" s="90"/>
    </row>
    <row r="145">
      <c r="D145" s="2"/>
      <c r="E145" s="2"/>
      <c r="F145" s="2"/>
      <c r="I145" s="2"/>
      <c r="M145" s="2"/>
      <c r="S145" s="2"/>
      <c r="V145" s="2"/>
      <c r="AH145" s="90"/>
      <c r="AM145" s="90"/>
    </row>
    <row r="146">
      <c r="D146" s="2"/>
      <c r="E146" s="2"/>
      <c r="F146" s="2"/>
      <c r="I146" s="2"/>
      <c r="M146" s="2"/>
      <c r="S146" s="2"/>
      <c r="V146" s="2"/>
      <c r="AH146" s="90"/>
      <c r="AM146" s="90"/>
    </row>
    <row r="147">
      <c r="D147" s="2"/>
      <c r="E147" s="2"/>
      <c r="F147" s="2"/>
      <c r="I147" s="2"/>
      <c r="M147" s="2"/>
      <c r="S147" s="2"/>
      <c r="V147" s="2"/>
      <c r="AH147" s="90"/>
      <c r="AM147" s="90"/>
    </row>
    <row r="148">
      <c r="D148" s="2"/>
      <c r="E148" s="2"/>
      <c r="F148" s="2"/>
      <c r="I148" s="2"/>
      <c r="M148" s="2"/>
      <c r="S148" s="2"/>
      <c r="V148" s="2"/>
      <c r="AH148" s="90"/>
      <c r="AM148" s="90"/>
    </row>
    <row r="149">
      <c r="D149" s="2"/>
      <c r="E149" s="2"/>
      <c r="F149" s="2"/>
      <c r="I149" s="2"/>
      <c r="M149" s="2"/>
      <c r="S149" s="2"/>
      <c r="V149" s="2"/>
      <c r="AH149" s="90"/>
      <c r="AM149" s="90"/>
    </row>
    <row r="150">
      <c r="D150" s="2"/>
      <c r="E150" s="2"/>
      <c r="F150" s="2"/>
      <c r="I150" s="2"/>
      <c r="M150" s="2"/>
      <c r="S150" s="2"/>
      <c r="V150" s="2"/>
      <c r="AH150" s="90"/>
      <c r="AM150" s="90"/>
    </row>
    <row r="151">
      <c r="D151" s="2"/>
      <c r="E151" s="2"/>
      <c r="F151" s="2"/>
      <c r="I151" s="2"/>
      <c r="M151" s="2"/>
      <c r="S151" s="2"/>
      <c r="V151" s="2"/>
      <c r="AH151" s="90"/>
      <c r="AM151" s="90"/>
    </row>
    <row r="152">
      <c r="D152" s="2"/>
      <c r="E152" s="2"/>
      <c r="F152" s="2"/>
      <c r="I152" s="2"/>
      <c r="M152" s="2"/>
      <c r="S152" s="2"/>
      <c r="V152" s="2"/>
      <c r="AH152" s="90"/>
      <c r="AM152" s="90"/>
    </row>
    <row r="153">
      <c r="D153" s="2"/>
      <c r="E153" s="2"/>
      <c r="F153" s="2"/>
      <c r="I153" s="2"/>
      <c r="M153" s="2"/>
      <c r="S153" s="2"/>
      <c r="V153" s="2"/>
      <c r="AH153" s="90"/>
      <c r="AM153" s="90"/>
    </row>
    <row r="154">
      <c r="D154" s="2"/>
      <c r="E154" s="2"/>
      <c r="F154" s="2"/>
      <c r="I154" s="2"/>
      <c r="M154" s="2"/>
      <c r="S154" s="2"/>
      <c r="V154" s="2"/>
      <c r="AH154" s="90"/>
      <c r="AM154" s="90"/>
    </row>
    <row r="155">
      <c r="D155" s="2"/>
      <c r="E155" s="2"/>
      <c r="F155" s="2"/>
      <c r="I155" s="2"/>
      <c r="M155" s="2"/>
      <c r="S155" s="2"/>
      <c r="V155" s="2"/>
      <c r="AH155" s="90"/>
      <c r="AM155" s="90"/>
    </row>
    <row r="156">
      <c r="D156" s="2"/>
      <c r="E156" s="2"/>
      <c r="F156" s="2"/>
      <c r="I156" s="2"/>
      <c r="M156" s="2"/>
      <c r="S156" s="2"/>
      <c r="V156" s="2"/>
      <c r="AH156" s="90"/>
      <c r="AM156" s="90"/>
    </row>
    <row r="157">
      <c r="D157" s="2"/>
      <c r="E157" s="2"/>
      <c r="F157" s="2"/>
      <c r="I157" s="2"/>
      <c r="M157" s="2"/>
      <c r="S157" s="2"/>
      <c r="V157" s="2"/>
      <c r="AH157" s="90"/>
      <c r="AM157" s="90"/>
    </row>
    <row r="158">
      <c r="D158" s="2"/>
      <c r="E158" s="2"/>
      <c r="F158" s="2"/>
      <c r="I158" s="2"/>
      <c r="M158" s="2"/>
      <c r="S158" s="2"/>
      <c r="V158" s="2"/>
      <c r="AH158" s="90"/>
      <c r="AM158" s="90"/>
    </row>
    <row r="159">
      <c r="D159" s="2"/>
      <c r="E159" s="2"/>
      <c r="F159" s="2"/>
      <c r="I159" s="2"/>
      <c r="M159" s="2"/>
      <c r="S159" s="2"/>
      <c r="V159" s="2"/>
      <c r="AH159" s="90"/>
      <c r="AM159" s="90"/>
    </row>
    <row r="160">
      <c r="D160" s="2"/>
      <c r="E160" s="2"/>
      <c r="F160" s="2"/>
      <c r="I160" s="2"/>
      <c r="M160" s="2"/>
      <c r="S160" s="2"/>
      <c r="V160" s="2"/>
      <c r="AH160" s="90"/>
      <c r="AM160" s="90"/>
    </row>
    <row r="161">
      <c r="D161" s="2"/>
      <c r="E161" s="2"/>
      <c r="F161" s="2"/>
      <c r="I161" s="2"/>
      <c r="M161" s="2"/>
      <c r="S161" s="2"/>
      <c r="V161" s="2"/>
      <c r="AH161" s="90"/>
      <c r="AM161" s="90"/>
    </row>
    <row r="162">
      <c r="D162" s="2"/>
      <c r="E162" s="2"/>
      <c r="F162" s="2"/>
      <c r="I162" s="2"/>
      <c r="M162" s="2"/>
      <c r="S162" s="2"/>
      <c r="V162" s="2"/>
      <c r="AH162" s="90"/>
      <c r="AM162" s="90"/>
    </row>
    <row r="163">
      <c r="D163" s="2"/>
      <c r="E163" s="2"/>
      <c r="F163" s="2"/>
      <c r="I163" s="2"/>
      <c r="M163" s="2"/>
      <c r="S163" s="2"/>
      <c r="V163" s="2"/>
      <c r="AH163" s="90"/>
      <c r="AM163" s="90"/>
    </row>
    <row r="164">
      <c r="D164" s="2"/>
      <c r="E164" s="2"/>
      <c r="F164" s="2"/>
      <c r="I164" s="2"/>
      <c r="M164" s="2"/>
      <c r="S164" s="2"/>
      <c r="V164" s="2"/>
      <c r="AH164" s="90"/>
      <c r="AM164" s="90"/>
    </row>
    <row r="165">
      <c r="D165" s="2"/>
      <c r="E165" s="2"/>
      <c r="F165" s="2"/>
      <c r="I165" s="2"/>
      <c r="M165" s="2"/>
      <c r="S165" s="2"/>
      <c r="V165" s="2"/>
      <c r="AH165" s="90"/>
      <c r="AM165" s="90"/>
    </row>
    <row r="166">
      <c r="D166" s="2"/>
      <c r="E166" s="2"/>
      <c r="F166" s="2"/>
      <c r="I166" s="2"/>
      <c r="M166" s="2"/>
      <c r="S166" s="2"/>
      <c r="V166" s="2"/>
      <c r="AH166" s="90"/>
      <c r="AM166" s="90"/>
    </row>
    <row r="167">
      <c r="D167" s="2"/>
      <c r="E167" s="2"/>
      <c r="F167" s="2"/>
      <c r="I167" s="2"/>
      <c r="M167" s="2"/>
      <c r="S167" s="2"/>
      <c r="V167" s="2"/>
      <c r="AH167" s="90"/>
      <c r="AM167" s="90"/>
    </row>
    <row r="168">
      <c r="D168" s="2"/>
      <c r="E168" s="2"/>
      <c r="F168" s="2"/>
      <c r="I168" s="2"/>
      <c r="M168" s="2"/>
      <c r="S168" s="2"/>
      <c r="V168" s="2"/>
      <c r="AH168" s="90"/>
      <c r="AM168" s="90"/>
    </row>
    <row r="169">
      <c r="D169" s="2"/>
      <c r="E169" s="2"/>
      <c r="F169" s="2"/>
      <c r="I169" s="2"/>
      <c r="M169" s="2"/>
      <c r="S169" s="2"/>
      <c r="V169" s="2"/>
      <c r="AH169" s="90"/>
      <c r="AM169" s="90"/>
    </row>
    <row r="170">
      <c r="D170" s="2"/>
      <c r="E170" s="2"/>
      <c r="F170" s="2"/>
      <c r="I170" s="2"/>
      <c r="M170" s="2"/>
      <c r="S170" s="2"/>
      <c r="V170" s="2"/>
      <c r="AH170" s="90"/>
      <c r="AM170" s="90"/>
    </row>
    <row r="171">
      <c r="D171" s="2"/>
      <c r="E171" s="2"/>
      <c r="F171" s="2"/>
      <c r="I171" s="2"/>
      <c r="M171" s="2"/>
      <c r="S171" s="2"/>
      <c r="V171" s="2"/>
      <c r="AH171" s="90"/>
      <c r="AM171" s="90"/>
    </row>
    <row r="172">
      <c r="D172" s="2"/>
      <c r="E172" s="2"/>
      <c r="F172" s="2"/>
      <c r="I172" s="2"/>
      <c r="M172" s="2"/>
      <c r="S172" s="2"/>
      <c r="V172" s="2"/>
      <c r="AH172" s="90"/>
      <c r="AM172" s="90"/>
    </row>
    <row r="173">
      <c r="D173" s="2"/>
      <c r="E173" s="2"/>
      <c r="F173" s="2"/>
      <c r="I173" s="2"/>
      <c r="M173" s="2"/>
      <c r="S173" s="2"/>
      <c r="V173" s="2"/>
      <c r="AH173" s="90"/>
      <c r="AM173" s="90"/>
    </row>
    <row r="174">
      <c r="D174" s="2"/>
      <c r="E174" s="2"/>
      <c r="F174" s="2"/>
      <c r="I174" s="2"/>
      <c r="M174" s="2"/>
      <c r="S174" s="2"/>
      <c r="V174" s="2"/>
      <c r="AH174" s="90"/>
      <c r="AM174" s="90"/>
    </row>
    <row r="175">
      <c r="D175" s="2"/>
      <c r="E175" s="2"/>
      <c r="F175" s="2"/>
      <c r="I175" s="2"/>
      <c r="M175" s="2"/>
      <c r="S175" s="2"/>
      <c r="V175" s="2"/>
      <c r="AH175" s="90"/>
      <c r="AM175" s="90"/>
    </row>
    <row r="176">
      <c r="D176" s="2"/>
      <c r="E176" s="2"/>
      <c r="F176" s="2"/>
      <c r="I176" s="2"/>
      <c r="M176" s="2"/>
      <c r="S176" s="2"/>
      <c r="V176" s="2"/>
      <c r="AH176" s="90"/>
      <c r="AM176" s="90"/>
    </row>
    <row r="177">
      <c r="D177" s="2"/>
      <c r="E177" s="2"/>
      <c r="F177" s="2"/>
      <c r="I177" s="2"/>
      <c r="M177" s="2"/>
      <c r="S177" s="2"/>
      <c r="V177" s="2"/>
      <c r="AH177" s="90"/>
      <c r="AM177" s="90"/>
    </row>
    <row r="178">
      <c r="D178" s="2"/>
      <c r="E178" s="2"/>
      <c r="F178" s="2"/>
      <c r="I178" s="2"/>
      <c r="M178" s="2"/>
      <c r="S178" s="2"/>
      <c r="V178" s="2"/>
      <c r="AH178" s="90"/>
      <c r="AM178" s="90"/>
    </row>
    <row r="179">
      <c r="D179" s="2"/>
      <c r="E179" s="2"/>
      <c r="F179" s="2"/>
      <c r="I179" s="2"/>
      <c r="M179" s="2"/>
      <c r="S179" s="2"/>
      <c r="V179" s="2"/>
      <c r="AH179" s="90"/>
      <c r="AM179" s="90"/>
    </row>
    <row r="180">
      <c r="D180" s="2"/>
      <c r="E180" s="2"/>
      <c r="F180" s="2"/>
      <c r="I180" s="2"/>
      <c r="M180" s="2"/>
      <c r="S180" s="2"/>
      <c r="V180" s="2"/>
      <c r="AH180" s="90"/>
      <c r="AM180" s="90"/>
    </row>
    <row r="181">
      <c r="D181" s="2"/>
      <c r="E181" s="2"/>
      <c r="F181" s="2"/>
      <c r="I181" s="2"/>
      <c r="M181" s="2"/>
      <c r="S181" s="2"/>
      <c r="V181" s="2"/>
      <c r="AH181" s="90"/>
      <c r="AM181" s="90"/>
    </row>
    <row r="182">
      <c r="D182" s="2"/>
      <c r="E182" s="2"/>
      <c r="F182" s="2"/>
      <c r="I182" s="2"/>
      <c r="M182" s="2"/>
      <c r="S182" s="2"/>
      <c r="V182" s="2"/>
      <c r="AH182" s="90"/>
      <c r="AM182" s="90"/>
    </row>
    <row r="183">
      <c r="D183" s="2"/>
      <c r="E183" s="2"/>
      <c r="F183" s="2"/>
      <c r="I183" s="2"/>
      <c r="M183" s="2"/>
      <c r="S183" s="2"/>
      <c r="V183" s="2"/>
      <c r="AH183" s="90"/>
      <c r="AM183" s="90"/>
    </row>
    <row r="184">
      <c r="D184" s="2"/>
      <c r="E184" s="2"/>
      <c r="F184" s="2"/>
      <c r="I184" s="2"/>
      <c r="M184" s="2"/>
      <c r="S184" s="2"/>
      <c r="V184" s="2"/>
      <c r="AH184" s="90"/>
      <c r="AM184" s="90"/>
    </row>
    <row r="185">
      <c r="D185" s="2"/>
      <c r="E185" s="2"/>
      <c r="F185" s="2"/>
      <c r="I185" s="2"/>
      <c r="M185" s="2"/>
      <c r="S185" s="2"/>
      <c r="V185" s="2"/>
      <c r="AH185" s="90"/>
      <c r="AM185" s="90"/>
    </row>
    <row r="186">
      <c r="D186" s="2"/>
      <c r="E186" s="2"/>
      <c r="F186" s="2"/>
      <c r="I186" s="2"/>
      <c r="M186" s="2"/>
      <c r="S186" s="2"/>
      <c r="V186" s="2"/>
      <c r="AH186" s="90"/>
      <c r="AM186" s="90"/>
    </row>
    <row r="187">
      <c r="D187" s="2"/>
      <c r="E187" s="2"/>
      <c r="F187" s="2"/>
      <c r="I187" s="2"/>
      <c r="M187" s="2"/>
      <c r="S187" s="2"/>
      <c r="V187" s="2"/>
      <c r="AH187" s="90"/>
      <c r="AM187" s="90"/>
    </row>
    <row r="188">
      <c r="D188" s="2"/>
      <c r="E188" s="2"/>
      <c r="F188" s="2"/>
      <c r="I188" s="2"/>
      <c r="M188" s="2"/>
      <c r="S188" s="2"/>
      <c r="V188" s="2"/>
      <c r="AH188" s="90"/>
      <c r="AM188" s="90"/>
    </row>
    <row r="189">
      <c r="D189" s="2"/>
      <c r="E189" s="2"/>
      <c r="F189" s="2"/>
      <c r="I189" s="2"/>
      <c r="M189" s="2"/>
      <c r="S189" s="2"/>
      <c r="V189" s="2"/>
      <c r="AH189" s="90"/>
      <c r="AM189" s="90"/>
    </row>
    <row r="190">
      <c r="D190" s="2"/>
      <c r="E190" s="2"/>
      <c r="F190" s="2"/>
      <c r="I190" s="2"/>
      <c r="M190" s="2"/>
      <c r="S190" s="2"/>
      <c r="V190" s="2"/>
      <c r="AH190" s="90"/>
      <c r="AM190" s="90"/>
    </row>
    <row r="191">
      <c r="D191" s="2"/>
      <c r="E191" s="2"/>
      <c r="F191" s="2"/>
      <c r="I191" s="2"/>
      <c r="M191" s="2"/>
      <c r="S191" s="2"/>
      <c r="V191" s="2"/>
      <c r="AH191" s="90"/>
      <c r="AM191" s="90"/>
    </row>
    <row r="192">
      <c r="D192" s="2"/>
      <c r="E192" s="2"/>
      <c r="F192" s="2"/>
      <c r="I192" s="2"/>
      <c r="M192" s="2"/>
      <c r="S192" s="2"/>
      <c r="V192" s="2"/>
      <c r="AH192" s="90"/>
      <c r="AM192" s="90"/>
    </row>
    <row r="193">
      <c r="D193" s="2"/>
      <c r="E193" s="2"/>
      <c r="F193" s="2"/>
      <c r="I193" s="2"/>
      <c r="M193" s="2"/>
      <c r="S193" s="2"/>
      <c r="V193" s="2"/>
      <c r="AH193" s="90"/>
      <c r="AM193" s="90"/>
    </row>
    <row r="194">
      <c r="D194" s="2"/>
      <c r="E194" s="2"/>
      <c r="F194" s="2"/>
      <c r="I194" s="2"/>
      <c r="M194" s="2"/>
      <c r="S194" s="2"/>
      <c r="V194" s="2"/>
      <c r="AH194" s="90"/>
      <c r="AM194" s="90"/>
    </row>
    <row r="195">
      <c r="D195" s="2"/>
      <c r="E195" s="2"/>
      <c r="F195" s="2"/>
      <c r="I195" s="2"/>
      <c r="M195" s="2"/>
      <c r="S195" s="2"/>
      <c r="V195" s="2"/>
      <c r="AH195" s="90"/>
      <c r="AM195" s="90"/>
    </row>
    <row r="196">
      <c r="D196" s="2"/>
      <c r="E196" s="2"/>
      <c r="F196" s="2"/>
      <c r="I196" s="2"/>
      <c r="M196" s="2"/>
      <c r="S196" s="2"/>
      <c r="V196" s="2"/>
      <c r="AH196" s="90"/>
      <c r="AM196" s="90"/>
    </row>
    <row r="197">
      <c r="D197" s="2"/>
      <c r="E197" s="2"/>
      <c r="F197" s="2"/>
      <c r="I197" s="2"/>
      <c r="M197" s="2"/>
      <c r="S197" s="2"/>
      <c r="V197" s="2"/>
      <c r="AH197" s="90"/>
      <c r="AM197" s="90"/>
    </row>
    <row r="198">
      <c r="D198" s="2"/>
      <c r="E198" s="2"/>
      <c r="F198" s="2"/>
      <c r="I198" s="2"/>
      <c r="M198" s="2"/>
      <c r="S198" s="2"/>
      <c r="V198" s="2"/>
      <c r="AH198" s="90"/>
      <c r="AM198" s="90"/>
    </row>
    <row r="199">
      <c r="D199" s="2"/>
      <c r="E199" s="2"/>
      <c r="F199" s="2"/>
      <c r="I199" s="2"/>
      <c r="M199" s="2"/>
      <c r="S199" s="2"/>
      <c r="V199" s="2"/>
      <c r="AH199" s="90"/>
      <c r="AM199" s="90"/>
    </row>
    <row r="200">
      <c r="D200" s="2"/>
      <c r="E200" s="2"/>
      <c r="F200" s="2"/>
      <c r="I200" s="2"/>
      <c r="M200" s="2"/>
      <c r="S200" s="2"/>
      <c r="V200" s="2"/>
      <c r="AH200" s="90"/>
      <c r="AM200" s="90"/>
    </row>
    <row r="201">
      <c r="D201" s="2"/>
      <c r="E201" s="2"/>
      <c r="F201" s="2"/>
      <c r="I201" s="2"/>
      <c r="M201" s="2"/>
      <c r="S201" s="2"/>
      <c r="V201" s="2"/>
      <c r="AH201" s="90"/>
      <c r="AM201" s="90"/>
    </row>
    <row r="202">
      <c r="D202" s="2"/>
      <c r="E202" s="2"/>
      <c r="F202" s="2"/>
      <c r="I202" s="2"/>
      <c r="M202" s="2"/>
      <c r="S202" s="2"/>
      <c r="V202" s="2"/>
      <c r="AH202" s="90"/>
      <c r="AM202" s="90"/>
    </row>
    <row r="203">
      <c r="D203" s="2"/>
      <c r="E203" s="2"/>
      <c r="F203" s="2"/>
      <c r="I203" s="2"/>
      <c r="M203" s="2"/>
      <c r="S203" s="2"/>
      <c r="V203" s="2"/>
      <c r="AH203" s="90"/>
      <c r="AM203" s="90"/>
    </row>
    <row r="204">
      <c r="D204" s="2"/>
      <c r="E204" s="2"/>
      <c r="F204" s="2"/>
      <c r="I204" s="2"/>
      <c r="M204" s="2"/>
      <c r="S204" s="2"/>
      <c r="V204" s="2"/>
      <c r="AH204" s="90"/>
      <c r="AM204" s="90"/>
    </row>
    <row r="205">
      <c r="D205" s="2"/>
      <c r="E205" s="2"/>
      <c r="F205" s="2"/>
      <c r="I205" s="2"/>
      <c r="M205" s="2"/>
      <c r="S205" s="2"/>
      <c r="V205" s="2"/>
      <c r="AH205" s="90"/>
      <c r="AM205" s="90"/>
    </row>
    <row r="206">
      <c r="D206" s="2"/>
      <c r="E206" s="2"/>
      <c r="F206" s="2"/>
      <c r="I206" s="2"/>
      <c r="M206" s="2"/>
      <c r="S206" s="2"/>
      <c r="V206" s="2"/>
      <c r="AH206" s="90"/>
      <c r="AM206" s="90"/>
    </row>
    <row r="207">
      <c r="D207" s="2"/>
      <c r="E207" s="2"/>
      <c r="F207" s="2"/>
      <c r="I207" s="2"/>
      <c r="M207" s="2"/>
      <c r="S207" s="2"/>
      <c r="V207" s="2"/>
      <c r="AH207" s="90"/>
      <c r="AM207" s="90"/>
    </row>
    <row r="208">
      <c r="D208" s="2"/>
      <c r="E208" s="2"/>
      <c r="F208" s="2"/>
      <c r="I208" s="2"/>
      <c r="M208" s="2"/>
      <c r="S208" s="2"/>
      <c r="V208" s="2"/>
      <c r="AH208" s="90"/>
      <c r="AM208" s="90"/>
    </row>
    <row r="209">
      <c r="D209" s="2"/>
      <c r="E209" s="2"/>
      <c r="F209" s="2"/>
      <c r="I209" s="2"/>
      <c r="M209" s="2"/>
      <c r="S209" s="2"/>
      <c r="V209" s="2"/>
      <c r="AH209" s="90"/>
      <c r="AM209" s="90"/>
    </row>
    <row r="210">
      <c r="D210" s="2"/>
      <c r="E210" s="2"/>
      <c r="F210" s="2"/>
      <c r="I210" s="2"/>
      <c r="M210" s="2"/>
      <c r="S210" s="2"/>
      <c r="V210" s="2"/>
      <c r="AH210" s="90"/>
      <c r="AM210" s="90"/>
    </row>
    <row r="211">
      <c r="D211" s="2"/>
      <c r="E211" s="2"/>
      <c r="F211" s="2"/>
      <c r="I211" s="2"/>
      <c r="M211" s="2"/>
      <c r="S211" s="2"/>
      <c r="V211" s="2"/>
      <c r="AH211" s="90"/>
      <c r="AM211" s="90"/>
    </row>
    <row r="212">
      <c r="D212" s="2"/>
      <c r="E212" s="2"/>
      <c r="F212" s="2"/>
      <c r="I212" s="2"/>
      <c r="M212" s="2"/>
      <c r="S212" s="2"/>
      <c r="V212" s="2"/>
      <c r="AH212" s="90"/>
      <c r="AM212" s="90"/>
    </row>
    <row r="213">
      <c r="D213" s="2"/>
      <c r="E213" s="2"/>
      <c r="F213" s="2"/>
      <c r="I213" s="2"/>
      <c r="M213" s="2"/>
      <c r="S213" s="2"/>
      <c r="V213" s="2"/>
      <c r="AH213" s="90"/>
      <c r="AM213" s="90"/>
    </row>
    <row r="214">
      <c r="D214" s="2"/>
      <c r="E214" s="2"/>
      <c r="F214" s="2"/>
      <c r="I214" s="2"/>
      <c r="M214" s="2"/>
      <c r="S214" s="2"/>
      <c r="V214" s="2"/>
      <c r="AH214" s="90"/>
      <c r="AM214" s="90"/>
    </row>
    <row r="215">
      <c r="D215" s="2"/>
      <c r="E215" s="2"/>
      <c r="F215" s="2"/>
      <c r="I215" s="2"/>
      <c r="M215" s="2"/>
      <c r="S215" s="2"/>
      <c r="V215" s="2"/>
      <c r="AH215" s="90"/>
      <c r="AM215" s="90"/>
    </row>
    <row r="216">
      <c r="D216" s="2"/>
      <c r="E216" s="2"/>
      <c r="F216" s="2"/>
      <c r="I216" s="2"/>
      <c r="M216" s="2"/>
      <c r="S216" s="2"/>
      <c r="V216" s="2"/>
      <c r="AH216" s="90"/>
      <c r="AM216" s="90"/>
    </row>
    <row r="217">
      <c r="D217" s="2"/>
      <c r="E217" s="2"/>
      <c r="F217" s="2"/>
      <c r="I217" s="2"/>
      <c r="M217" s="2"/>
      <c r="S217" s="2"/>
      <c r="V217" s="2"/>
      <c r="AH217" s="90"/>
      <c r="AM217" s="90"/>
    </row>
    <row r="218">
      <c r="D218" s="2"/>
      <c r="E218" s="2"/>
      <c r="F218" s="2"/>
      <c r="I218" s="2"/>
      <c r="M218" s="2"/>
      <c r="S218" s="2"/>
      <c r="V218" s="2"/>
      <c r="AH218" s="90"/>
      <c r="AM218" s="90"/>
    </row>
    <row r="219">
      <c r="D219" s="2"/>
      <c r="E219" s="2"/>
      <c r="F219" s="2"/>
      <c r="I219" s="2"/>
      <c r="M219" s="2"/>
      <c r="S219" s="2"/>
      <c r="V219" s="2"/>
      <c r="AH219" s="90"/>
      <c r="AM219" s="90"/>
    </row>
    <row r="220">
      <c r="D220" s="2"/>
      <c r="E220" s="2"/>
      <c r="F220" s="2"/>
      <c r="I220" s="2"/>
      <c r="M220" s="2"/>
      <c r="S220" s="2"/>
      <c r="V220" s="2"/>
      <c r="AH220" s="90"/>
      <c r="AM220" s="90"/>
    </row>
    <row r="221">
      <c r="D221" s="2"/>
      <c r="E221" s="2"/>
      <c r="F221" s="2"/>
      <c r="I221" s="2"/>
      <c r="M221" s="2"/>
      <c r="S221" s="2"/>
      <c r="V221" s="2"/>
      <c r="AH221" s="90"/>
      <c r="AM221" s="90"/>
    </row>
    <row r="222">
      <c r="D222" s="2"/>
      <c r="E222" s="2"/>
      <c r="F222" s="2"/>
      <c r="I222" s="2"/>
      <c r="M222" s="2"/>
      <c r="S222" s="2"/>
      <c r="V222" s="2"/>
      <c r="AH222" s="90"/>
      <c r="AM222" s="90"/>
    </row>
    <row r="223">
      <c r="D223" s="2"/>
      <c r="E223" s="2"/>
      <c r="F223" s="2"/>
      <c r="I223" s="2"/>
      <c r="M223" s="2"/>
      <c r="S223" s="2"/>
      <c r="V223" s="2"/>
      <c r="AH223" s="90"/>
      <c r="AM223" s="90"/>
    </row>
    <row r="224">
      <c r="D224" s="2"/>
      <c r="E224" s="2"/>
      <c r="F224" s="2"/>
      <c r="I224" s="2"/>
      <c r="M224" s="2"/>
      <c r="S224" s="2"/>
      <c r="V224" s="2"/>
      <c r="AH224" s="90"/>
      <c r="AM224" s="90"/>
    </row>
    <row r="225">
      <c r="D225" s="2"/>
      <c r="E225" s="2"/>
      <c r="F225" s="2"/>
      <c r="I225" s="2"/>
      <c r="M225" s="2"/>
      <c r="S225" s="2"/>
      <c r="V225" s="2"/>
      <c r="AH225" s="90"/>
      <c r="AM225" s="90"/>
    </row>
    <row r="226">
      <c r="D226" s="2"/>
      <c r="E226" s="2"/>
      <c r="F226" s="2"/>
      <c r="I226" s="2"/>
      <c r="M226" s="2"/>
      <c r="S226" s="2"/>
      <c r="V226" s="2"/>
      <c r="AH226" s="90"/>
      <c r="AM226" s="90"/>
    </row>
    <row r="227">
      <c r="D227" s="2"/>
      <c r="E227" s="2"/>
      <c r="F227" s="2"/>
      <c r="I227" s="2"/>
      <c r="M227" s="2"/>
      <c r="S227" s="2"/>
      <c r="V227" s="2"/>
      <c r="AH227" s="90"/>
      <c r="AM227" s="90"/>
    </row>
    <row r="228">
      <c r="D228" s="2"/>
      <c r="E228" s="2"/>
      <c r="F228" s="2"/>
      <c r="I228" s="2"/>
      <c r="M228" s="2"/>
      <c r="S228" s="2"/>
      <c r="V228" s="2"/>
      <c r="AH228" s="90"/>
      <c r="AM228" s="90"/>
    </row>
    <row r="229">
      <c r="D229" s="2"/>
      <c r="E229" s="2"/>
      <c r="F229" s="2"/>
      <c r="I229" s="2"/>
      <c r="M229" s="2"/>
      <c r="S229" s="2"/>
      <c r="V229" s="2"/>
      <c r="AH229" s="90"/>
      <c r="AM229" s="90"/>
    </row>
    <row r="230">
      <c r="D230" s="2"/>
      <c r="E230" s="2"/>
      <c r="F230" s="2"/>
      <c r="I230" s="2"/>
      <c r="M230" s="2"/>
      <c r="S230" s="2"/>
      <c r="V230" s="2"/>
      <c r="AH230" s="90"/>
      <c r="AM230" s="90"/>
    </row>
    <row r="231">
      <c r="D231" s="2"/>
      <c r="E231" s="2"/>
      <c r="F231" s="2"/>
      <c r="I231" s="2"/>
      <c r="M231" s="2"/>
      <c r="S231" s="2"/>
      <c r="V231" s="2"/>
      <c r="AH231" s="90"/>
      <c r="AM231" s="90"/>
    </row>
    <row r="232">
      <c r="D232" s="2"/>
      <c r="E232" s="2"/>
      <c r="F232" s="2"/>
      <c r="I232" s="2"/>
      <c r="M232" s="2"/>
      <c r="S232" s="2"/>
      <c r="V232" s="2"/>
      <c r="AH232" s="90"/>
      <c r="AM232" s="90"/>
    </row>
    <row r="233">
      <c r="D233" s="2"/>
      <c r="E233" s="2"/>
      <c r="F233" s="2"/>
      <c r="I233" s="2"/>
      <c r="M233" s="2"/>
      <c r="S233" s="2"/>
      <c r="V233" s="2"/>
      <c r="AH233" s="90"/>
      <c r="AM233" s="90"/>
    </row>
    <row r="234">
      <c r="D234" s="2"/>
      <c r="E234" s="2"/>
      <c r="F234" s="2"/>
      <c r="I234" s="2"/>
      <c r="M234" s="2"/>
      <c r="S234" s="2"/>
      <c r="V234" s="2"/>
      <c r="AH234" s="90"/>
      <c r="AM234" s="90"/>
    </row>
    <row r="235">
      <c r="D235" s="2"/>
      <c r="E235" s="2"/>
      <c r="F235" s="2"/>
      <c r="I235" s="2"/>
      <c r="M235" s="2"/>
      <c r="S235" s="2"/>
      <c r="V235" s="2"/>
      <c r="AH235" s="90"/>
      <c r="AM235" s="90"/>
    </row>
    <row r="236">
      <c r="D236" s="2"/>
      <c r="E236" s="2"/>
      <c r="F236" s="2"/>
      <c r="I236" s="2"/>
      <c r="M236" s="2"/>
      <c r="S236" s="2"/>
      <c r="V236" s="2"/>
      <c r="AH236" s="90"/>
      <c r="AM236" s="90"/>
    </row>
    <row r="237">
      <c r="D237" s="2"/>
      <c r="E237" s="2"/>
      <c r="F237" s="2"/>
      <c r="I237" s="2"/>
      <c r="M237" s="2"/>
      <c r="S237" s="2"/>
      <c r="V237" s="2"/>
      <c r="AH237" s="90"/>
      <c r="AM237" s="90"/>
    </row>
    <row r="238">
      <c r="D238" s="2"/>
      <c r="E238" s="2"/>
      <c r="F238" s="2"/>
      <c r="I238" s="2"/>
      <c r="M238" s="2"/>
      <c r="S238" s="2"/>
      <c r="V238" s="2"/>
      <c r="AH238" s="90"/>
      <c r="AM238" s="90"/>
    </row>
    <row r="239">
      <c r="D239" s="2"/>
      <c r="E239" s="2"/>
      <c r="F239" s="2"/>
      <c r="I239" s="2"/>
      <c r="M239" s="2"/>
      <c r="S239" s="2"/>
      <c r="V239" s="2"/>
      <c r="AH239" s="90"/>
      <c r="AM239" s="90"/>
    </row>
    <row r="240">
      <c r="D240" s="2"/>
      <c r="E240" s="2"/>
      <c r="F240" s="2"/>
      <c r="I240" s="2"/>
      <c r="M240" s="2"/>
      <c r="S240" s="2"/>
      <c r="V240" s="2"/>
      <c r="AH240" s="90"/>
      <c r="AM240" s="90"/>
    </row>
    <row r="241">
      <c r="D241" s="2"/>
      <c r="E241" s="2"/>
      <c r="F241" s="2"/>
      <c r="I241" s="2"/>
      <c r="M241" s="2"/>
      <c r="S241" s="2"/>
      <c r="V241" s="2"/>
      <c r="AH241" s="90"/>
      <c r="AM241" s="90"/>
    </row>
    <row r="242">
      <c r="D242" s="2"/>
      <c r="E242" s="2"/>
      <c r="F242" s="2"/>
      <c r="I242" s="2"/>
      <c r="M242" s="2"/>
      <c r="S242" s="2"/>
      <c r="V242" s="2"/>
      <c r="AH242" s="90"/>
      <c r="AM242" s="90"/>
    </row>
    <row r="243">
      <c r="D243" s="2"/>
      <c r="E243" s="2"/>
      <c r="F243" s="2"/>
      <c r="I243" s="2"/>
      <c r="M243" s="2"/>
      <c r="S243" s="2"/>
      <c r="V243" s="2"/>
      <c r="AH243" s="90"/>
      <c r="AM243" s="90"/>
    </row>
    <row r="244">
      <c r="D244" s="2"/>
      <c r="E244" s="2"/>
      <c r="F244" s="2"/>
      <c r="I244" s="2"/>
      <c r="M244" s="2"/>
      <c r="S244" s="2"/>
      <c r="V244" s="2"/>
      <c r="AH244" s="90"/>
      <c r="AM244" s="90"/>
    </row>
    <row r="245">
      <c r="D245" s="2"/>
      <c r="E245" s="2"/>
      <c r="F245" s="2"/>
      <c r="I245" s="2"/>
      <c r="M245" s="2"/>
      <c r="S245" s="2"/>
      <c r="V245" s="2"/>
      <c r="AH245" s="90"/>
      <c r="AM245" s="90"/>
    </row>
    <row r="246">
      <c r="D246" s="2"/>
      <c r="E246" s="2"/>
      <c r="F246" s="2"/>
      <c r="I246" s="2"/>
      <c r="M246" s="2"/>
      <c r="S246" s="2"/>
      <c r="V246" s="2"/>
      <c r="AH246" s="90"/>
      <c r="AM246" s="90"/>
    </row>
    <row r="247">
      <c r="D247" s="2"/>
      <c r="E247" s="2"/>
      <c r="F247" s="2"/>
      <c r="I247" s="2"/>
      <c r="M247" s="2"/>
      <c r="S247" s="2"/>
      <c r="V247" s="2"/>
      <c r="AH247" s="90"/>
      <c r="AM247" s="90"/>
    </row>
    <row r="248">
      <c r="D248" s="2"/>
      <c r="E248" s="2"/>
      <c r="F248" s="2"/>
      <c r="I248" s="2"/>
      <c r="M248" s="2"/>
      <c r="S248" s="2"/>
      <c r="V248" s="2"/>
      <c r="AH248" s="90"/>
      <c r="AM248" s="90"/>
    </row>
    <row r="249">
      <c r="D249" s="2"/>
      <c r="E249" s="2"/>
      <c r="F249" s="2"/>
      <c r="I249" s="2"/>
      <c r="M249" s="2"/>
      <c r="S249" s="2"/>
      <c r="V249" s="2"/>
      <c r="AH249" s="90"/>
      <c r="AM249" s="90"/>
    </row>
    <row r="250">
      <c r="D250" s="2"/>
      <c r="E250" s="2"/>
      <c r="F250" s="2"/>
      <c r="I250" s="2"/>
      <c r="M250" s="2"/>
      <c r="S250" s="2"/>
      <c r="V250" s="2"/>
      <c r="AH250" s="90"/>
      <c r="AM250" s="90"/>
    </row>
    <row r="251">
      <c r="D251" s="2"/>
      <c r="E251" s="2"/>
      <c r="F251" s="2"/>
      <c r="I251" s="2"/>
      <c r="M251" s="2"/>
      <c r="S251" s="2"/>
      <c r="V251" s="2"/>
      <c r="AH251" s="90"/>
      <c r="AM251" s="90"/>
    </row>
    <row r="252">
      <c r="D252" s="2"/>
      <c r="E252" s="2"/>
      <c r="F252" s="2"/>
      <c r="I252" s="2"/>
      <c r="M252" s="2"/>
      <c r="S252" s="2"/>
      <c r="V252" s="2"/>
      <c r="AH252" s="90"/>
      <c r="AM252" s="90"/>
    </row>
    <row r="253">
      <c r="D253" s="2"/>
      <c r="E253" s="2"/>
      <c r="F253" s="2"/>
      <c r="I253" s="2"/>
      <c r="M253" s="2"/>
      <c r="S253" s="2"/>
      <c r="V253" s="2"/>
      <c r="AH253" s="90"/>
      <c r="AM253" s="90"/>
    </row>
    <row r="254">
      <c r="D254" s="2"/>
      <c r="E254" s="2"/>
      <c r="F254" s="2"/>
      <c r="I254" s="2"/>
      <c r="M254" s="2"/>
      <c r="S254" s="2"/>
      <c r="V254" s="2"/>
      <c r="AH254" s="90"/>
      <c r="AM254" s="90"/>
    </row>
    <row r="255">
      <c r="D255" s="2"/>
      <c r="E255" s="2"/>
      <c r="F255" s="2"/>
      <c r="I255" s="2"/>
      <c r="M255" s="2"/>
      <c r="S255" s="2"/>
      <c r="V255" s="2"/>
      <c r="AH255" s="90"/>
      <c r="AM255" s="90"/>
    </row>
    <row r="256">
      <c r="D256" s="2"/>
      <c r="E256" s="2"/>
      <c r="F256" s="2"/>
      <c r="I256" s="2"/>
      <c r="M256" s="2"/>
      <c r="S256" s="2"/>
      <c r="V256" s="2"/>
      <c r="AH256" s="90"/>
      <c r="AM256" s="90"/>
    </row>
    <row r="257">
      <c r="D257" s="2"/>
      <c r="E257" s="2"/>
      <c r="F257" s="2"/>
      <c r="I257" s="2"/>
      <c r="M257" s="2"/>
      <c r="S257" s="2"/>
      <c r="V257" s="2"/>
      <c r="AH257" s="90"/>
      <c r="AM257" s="90"/>
    </row>
    <row r="258">
      <c r="D258" s="2"/>
      <c r="E258" s="2"/>
      <c r="F258" s="2"/>
      <c r="I258" s="2"/>
      <c r="M258" s="2"/>
      <c r="S258" s="2"/>
      <c r="V258" s="2"/>
      <c r="AH258" s="90"/>
      <c r="AM258" s="90"/>
    </row>
    <row r="259">
      <c r="D259" s="2"/>
      <c r="E259" s="2"/>
      <c r="F259" s="2"/>
      <c r="I259" s="2"/>
      <c r="M259" s="2"/>
      <c r="S259" s="2"/>
      <c r="V259" s="2"/>
      <c r="AH259" s="90"/>
      <c r="AM259" s="90"/>
    </row>
    <row r="260">
      <c r="D260" s="2"/>
      <c r="E260" s="2"/>
      <c r="F260" s="2"/>
      <c r="I260" s="2"/>
      <c r="M260" s="2"/>
      <c r="S260" s="2"/>
      <c r="V260" s="2"/>
      <c r="AH260" s="90"/>
      <c r="AM260" s="90"/>
    </row>
    <row r="261">
      <c r="D261" s="2"/>
      <c r="E261" s="2"/>
      <c r="F261" s="2"/>
      <c r="I261" s="2"/>
      <c r="M261" s="2"/>
      <c r="S261" s="2"/>
      <c r="V261" s="2"/>
      <c r="AH261" s="90"/>
      <c r="AM261" s="90"/>
    </row>
    <row r="262">
      <c r="D262" s="2"/>
      <c r="E262" s="2"/>
      <c r="F262" s="2"/>
      <c r="I262" s="2"/>
      <c r="M262" s="2"/>
      <c r="S262" s="2"/>
      <c r="V262" s="2"/>
      <c r="AH262" s="90"/>
      <c r="AM262" s="90"/>
    </row>
    <row r="263">
      <c r="D263" s="2"/>
      <c r="E263" s="2"/>
      <c r="F263" s="2"/>
      <c r="I263" s="2"/>
      <c r="M263" s="2"/>
      <c r="S263" s="2"/>
      <c r="V263" s="2"/>
      <c r="AH263" s="90"/>
      <c r="AM263" s="90"/>
    </row>
    <row r="264">
      <c r="D264" s="2"/>
      <c r="E264" s="2"/>
      <c r="F264" s="2"/>
      <c r="I264" s="2"/>
      <c r="M264" s="2"/>
      <c r="S264" s="2"/>
      <c r="V264" s="2"/>
      <c r="AH264" s="90"/>
      <c r="AM264" s="90"/>
    </row>
    <row r="265">
      <c r="D265" s="2"/>
      <c r="E265" s="2"/>
      <c r="F265" s="2"/>
      <c r="I265" s="2"/>
      <c r="M265" s="2"/>
      <c r="S265" s="2"/>
      <c r="V265" s="2"/>
      <c r="AH265" s="90"/>
      <c r="AM265" s="90"/>
    </row>
    <row r="266">
      <c r="D266" s="2"/>
      <c r="E266" s="2"/>
      <c r="F266" s="2"/>
      <c r="I266" s="2"/>
      <c r="M266" s="2"/>
      <c r="S266" s="2"/>
      <c r="V266" s="2"/>
      <c r="AH266" s="90"/>
      <c r="AM266" s="90"/>
    </row>
    <row r="267">
      <c r="D267" s="2"/>
      <c r="E267" s="2"/>
      <c r="F267" s="2"/>
      <c r="I267" s="2"/>
      <c r="M267" s="2"/>
      <c r="S267" s="2"/>
      <c r="V267" s="2"/>
      <c r="AH267" s="90"/>
      <c r="AM267" s="90"/>
    </row>
    <row r="268">
      <c r="D268" s="2"/>
      <c r="E268" s="2"/>
      <c r="F268" s="2"/>
      <c r="I268" s="2"/>
      <c r="M268" s="2"/>
      <c r="S268" s="2"/>
      <c r="V268" s="2"/>
      <c r="AH268" s="90"/>
      <c r="AM268" s="90"/>
    </row>
    <row r="269">
      <c r="D269" s="2"/>
      <c r="E269" s="2"/>
      <c r="F269" s="2"/>
      <c r="I269" s="2"/>
      <c r="M269" s="2"/>
      <c r="S269" s="2"/>
      <c r="V269" s="2"/>
      <c r="AH269" s="90"/>
      <c r="AM269" s="90"/>
    </row>
    <row r="270">
      <c r="D270" s="2"/>
      <c r="E270" s="2"/>
      <c r="F270" s="2"/>
      <c r="I270" s="2"/>
      <c r="M270" s="2"/>
      <c r="S270" s="2"/>
      <c r="V270" s="2"/>
      <c r="AH270" s="90"/>
      <c r="AM270" s="90"/>
    </row>
    <row r="271">
      <c r="D271" s="2"/>
      <c r="E271" s="2"/>
      <c r="F271" s="2"/>
      <c r="I271" s="2"/>
      <c r="M271" s="2"/>
      <c r="S271" s="2"/>
      <c r="V271" s="2"/>
      <c r="AH271" s="90"/>
      <c r="AM271" s="90"/>
    </row>
    <row r="272">
      <c r="D272" s="2"/>
      <c r="E272" s="2"/>
      <c r="F272" s="2"/>
      <c r="I272" s="2"/>
      <c r="M272" s="2"/>
      <c r="S272" s="2"/>
      <c r="V272" s="2"/>
      <c r="AH272" s="90"/>
      <c r="AM272" s="90"/>
    </row>
    <row r="273">
      <c r="D273" s="2"/>
      <c r="E273" s="2"/>
      <c r="F273" s="2"/>
      <c r="I273" s="2"/>
      <c r="M273" s="2"/>
      <c r="S273" s="2"/>
      <c r="V273" s="2"/>
      <c r="AH273" s="90"/>
      <c r="AM273" s="90"/>
    </row>
    <row r="274">
      <c r="D274" s="2"/>
      <c r="E274" s="2"/>
      <c r="F274" s="2"/>
      <c r="I274" s="2"/>
      <c r="M274" s="2"/>
      <c r="S274" s="2"/>
      <c r="V274" s="2"/>
      <c r="AH274" s="90"/>
      <c r="AM274" s="90"/>
    </row>
    <row r="275">
      <c r="D275" s="2"/>
      <c r="E275" s="2"/>
      <c r="F275" s="2"/>
      <c r="I275" s="2"/>
      <c r="M275" s="2"/>
      <c r="S275" s="2"/>
      <c r="V275" s="2"/>
      <c r="AH275" s="90"/>
      <c r="AM275" s="90"/>
    </row>
    <row r="276">
      <c r="D276" s="2"/>
      <c r="E276" s="2"/>
      <c r="F276" s="2"/>
      <c r="I276" s="2"/>
      <c r="M276" s="2"/>
      <c r="S276" s="2"/>
      <c r="V276" s="2"/>
      <c r="AH276" s="90"/>
      <c r="AM276" s="90"/>
    </row>
    <row r="277">
      <c r="D277" s="2"/>
      <c r="E277" s="2"/>
      <c r="F277" s="2"/>
      <c r="I277" s="2"/>
      <c r="M277" s="2"/>
      <c r="S277" s="2"/>
      <c r="V277" s="2"/>
      <c r="AH277" s="90"/>
      <c r="AM277" s="90"/>
    </row>
    <row r="278">
      <c r="D278" s="2"/>
      <c r="E278" s="2"/>
      <c r="F278" s="2"/>
      <c r="I278" s="2"/>
      <c r="M278" s="2"/>
      <c r="S278" s="2"/>
      <c r="V278" s="2"/>
      <c r="AH278" s="90"/>
      <c r="AM278" s="90"/>
    </row>
    <row r="279">
      <c r="D279" s="2"/>
      <c r="E279" s="2"/>
      <c r="F279" s="2"/>
      <c r="I279" s="2"/>
      <c r="M279" s="2"/>
      <c r="S279" s="2"/>
      <c r="V279" s="2"/>
      <c r="AH279" s="90"/>
      <c r="AM279" s="90"/>
    </row>
    <row r="280">
      <c r="D280" s="2"/>
      <c r="E280" s="2"/>
      <c r="F280" s="2"/>
      <c r="I280" s="2"/>
      <c r="M280" s="2"/>
      <c r="S280" s="2"/>
      <c r="V280" s="2"/>
      <c r="AH280" s="90"/>
      <c r="AM280" s="90"/>
    </row>
    <row r="281">
      <c r="D281" s="2"/>
      <c r="E281" s="2"/>
      <c r="F281" s="2"/>
      <c r="I281" s="2"/>
      <c r="M281" s="2"/>
      <c r="S281" s="2"/>
      <c r="V281" s="2"/>
      <c r="AH281" s="90"/>
      <c r="AM281" s="90"/>
    </row>
    <row r="282">
      <c r="D282" s="2"/>
      <c r="E282" s="2"/>
      <c r="F282" s="2"/>
      <c r="I282" s="2"/>
      <c r="M282" s="2"/>
      <c r="S282" s="2"/>
      <c r="V282" s="2"/>
      <c r="AH282" s="90"/>
      <c r="AM282" s="90"/>
    </row>
    <row r="283">
      <c r="D283" s="2"/>
      <c r="E283" s="2"/>
      <c r="F283" s="2"/>
      <c r="I283" s="2"/>
      <c r="M283" s="2"/>
      <c r="S283" s="2"/>
      <c r="V283" s="2"/>
      <c r="AH283" s="90"/>
      <c r="AM283" s="90"/>
    </row>
    <row r="284">
      <c r="D284" s="2"/>
      <c r="E284" s="2"/>
      <c r="F284" s="2"/>
      <c r="I284" s="2"/>
      <c r="M284" s="2"/>
      <c r="S284" s="2"/>
      <c r="V284" s="2"/>
      <c r="AH284" s="90"/>
      <c r="AM284" s="90"/>
    </row>
    <row r="285">
      <c r="D285" s="2"/>
      <c r="E285" s="2"/>
      <c r="F285" s="2"/>
      <c r="I285" s="2"/>
      <c r="M285" s="2"/>
      <c r="S285" s="2"/>
      <c r="V285" s="2"/>
      <c r="AH285" s="90"/>
      <c r="AM285" s="90"/>
    </row>
    <row r="286">
      <c r="D286" s="2"/>
      <c r="E286" s="2"/>
      <c r="F286" s="2"/>
      <c r="I286" s="2"/>
      <c r="M286" s="2"/>
      <c r="S286" s="2"/>
      <c r="V286" s="2"/>
      <c r="AH286" s="90"/>
      <c r="AM286" s="90"/>
    </row>
    <row r="287">
      <c r="D287" s="2"/>
      <c r="E287" s="2"/>
      <c r="F287" s="2"/>
      <c r="I287" s="2"/>
      <c r="M287" s="2"/>
      <c r="S287" s="2"/>
      <c r="V287" s="2"/>
      <c r="AH287" s="90"/>
      <c r="AM287" s="90"/>
    </row>
    <row r="288">
      <c r="D288" s="2"/>
      <c r="E288" s="2"/>
      <c r="F288" s="2"/>
      <c r="I288" s="2"/>
      <c r="M288" s="2"/>
      <c r="S288" s="2"/>
      <c r="V288" s="2"/>
      <c r="AH288" s="90"/>
      <c r="AM288" s="90"/>
    </row>
    <row r="289">
      <c r="D289" s="2"/>
      <c r="E289" s="2"/>
      <c r="F289" s="2"/>
      <c r="I289" s="2"/>
      <c r="M289" s="2"/>
      <c r="S289" s="2"/>
      <c r="V289" s="2"/>
      <c r="AH289" s="90"/>
      <c r="AM289" s="90"/>
    </row>
    <row r="290">
      <c r="D290" s="2"/>
      <c r="E290" s="2"/>
      <c r="F290" s="2"/>
      <c r="I290" s="2"/>
      <c r="M290" s="2"/>
      <c r="S290" s="2"/>
      <c r="V290" s="2"/>
      <c r="AH290" s="90"/>
      <c r="AM290" s="90"/>
    </row>
    <row r="291">
      <c r="D291" s="2"/>
      <c r="E291" s="2"/>
      <c r="F291" s="2"/>
      <c r="I291" s="2"/>
      <c r="M291" s="2"/>
      <c r="S291" s="2"/>
      <c r="V291" s="2"/>
      <c r="AH291" s="90"/>
      <c r="AM291" s="90"/>
    </row>
    <row r="292">
      <c r="D292" s="2"/>
      <c r="E292" s="2"/>
      <c r="F292" s="2"/>
      <c r="I292" s="2"/>
      <c r="M292" s="2"/>
      <c r="S292" s="2"/>
      <c r="V292" s="2"/>
      <c r="AH292" s="90"/>
      <c r="AM292" s="90"/>
    </row>
    <row r="293">
      <c r="D293" s="2"/>
      <c r="E293" s="2"/>
      <c r="F293" s="2"/>
      <c r="I293" s="2"/>
      <c r="M293" s="2"/>
      <c r="S293" s="2"/>
      <c r="V293" s="2"/>
      <c r="AH293" s="90"/>
      <c r="AM293" s="90"/>
    </row>
    <row r="294">
      <c r="D294" s="2"/>
      <c r="E294" s="2"/>
      <c r="F294" s="2"/>
      <c r="I294" s="2"/>
      <c r="M294" s="2"/>
      <c r="S294" s="2"/>
      <c r="V294" s="2"/>
      <c r="AH294" s="90"/>
      <c r="AM294" s="90"/>
    </row>
    <row r="295">
      <c r="D295" s="2"/>
      <c r="E295" s="2"/>
      <c r="F295" s="2"/>
      <c r="I295" s="2"/>
      <c r="M295" s="2"/>
      <c r="S295" s="2"/>
      <c r="V295" s="2"/>
      <c r="AH295" s="90"/>
      <c r="AM295" s="90"/>
    </row>
    <row r="296">
      <c r="D296" s="2"/>
      <c r="E296" s="2"/>
      <c r="F296" s="2"/>
      <c r="I296" s="2"/>
      <c r="M296" s="2"/>
      <c r="S296" s="2"/>
      <c r="V296" s="2"/>
      <c r="AH296" s="90"/>
      <c r="AM296" s="90"/>
    </row>
    <row r="297">
      <c r="D297" s="2"/>
      <c r="E297" s="2"/>
      <c r="F297" s="2"/>
      <c r="I297" s="2"/>
      <c r="M297" s="2"/>
      <c r="S297" s="2"/>
      <c r="V297" s="2"/>
      <c r="AH297" s="90"/>
      <c r="AM297" s="90"/>
    </row>
    <row r="298">
      <c r="D298" s="2"/>
      <c r="E298" s="2"/>
      <c r="F298" s="2"/>
      <c r="I298" s="2"/>
      <c r="M298" s="2"/>
      <c r="S298" s="2"/>
      <c r="V298" s="2"/>
      <c r="AH298" s="90"/>
      <c r="AM298" s="90"/>
    </row>
    <row r="299">
      <c r="D299" s="2"/>
      <c r="E299" s="2"/>
      <c r="F299" s="2"/>
      <c r="I299" s="2"/>
      <c r="M299" s="2"/>
      <c r="S299" s="2"/>
      <c r="V299" s="2"/>
      <c r="AH299" s="90"/>
      <c r="AM299" s="90"/>
    </row>
    <row r="300">
      <c r="D300" s="2"/>
      <c r="E300" s="2"/>
      <c r="F300" s="2"/>
      <c r="I300" s="2"/>
      <c r="M300" s="2"/>
      <c r="S300" s="2"/>
      <c r="V300" s="2"/>
      <c r="AH300" s="90"/>
      <c r="AM300" s="90"/>
    </row>
    <row r="301">
      <c r="D301" s="2"/>
      <c r="E301" s="2"/>
      <c r="F301" s="2"/>
      <c r="I301" s="2"/>
      <c r="M301" s="2"/>
      <c r="S301" s="2"/>
      <c r="V301" s="2"/>
      <c r="AH301" s="90"/>
      <c r="AM301" s="90"/>
    </row>
    <row r="302">
      <c r="D302" s="2"/>
      <c r="E302" s="2"/>
      <c r="F302" s="2"/>
      <c r="I302" s="2"/>
      <c r="M302" s="2"/>
      <c r="S302" s="2"/>
      <c r="V302" s="2"/>
      <c r="AH302" s="90"/>
      <c r="AM302" s="90"/>
    </row>
    <row r="303">
      <c r="D303" s="2"/>
      <c r="E303" s="2"/>
      <c r="F303" s="2"/>
      <c r="I303" s="2"/>
      <c r="M303" s="2"/>
      <c r="S303" s="2"/>
      <c r="V303" s="2"/>
      <c r="AH303" s="90"/>
      <c r="AM303" s="90"/>
    </row>
    <row r="304">
      <c r="D304" s="2"/>
      <c r="E304" s="2"/>
      <c r="F304" s="2"/>
      <c r="I304" s="2"/>
      <c r="M304" s="2"/>
      <c r="S304" s="2"/>
      <c r="V304" s="2"/>
      <c r="AH304" s="90"/>
      <c r="AM304" s="90"/>
    </row>
    <row r="305">
      <c r="D305" s="2"/>
      <c r="E305" s="2"/>
      <c r="F305" s="2"/>
      <c r="I305" s="2"/>
      <c r="M305" s="2"/>
      <c r="S305" s="2"/>
      <c r="V305" s="2"/>
      <c r="AH305" s="90"/>
      <c r="AM305" s="90"/>
    </row>
    <row r="306">
      <c r="D306" s="2"/>
      <c r="E306" s="2"/>
      <c r="F306" s="2"/>
      <c r="I306" s="2"/>
      <c r="M306" s="2"/>
      <c r="S306" s="2"/>
      <c r="V306" s="2"/>
      <c r="AH306" s="90"/>
      <c r="AM306" s="90"/>
    </row>
    <row r="307">
      <c r="D307" s="2"/>
      <c r="E307" s="2"/>
      <c r="F307" s="2"/>
      <c r="I307" s="2"/>
      <c r="M307" s="2"/>
      <c r="S307" s="2"/>
      <c r="V307" s="2"/>
      <c r="AH307" s="90"/>
      <c r="AM307" s="90"/>
    </row>
    <row r="308">
      <c r="D308" s="2"/>
      <c r="E308" s="2"/>
      <c r="F308" s="2"/>
      <c r="I308" s="2"/>
      <c r="M308" s="2"/>
      <c r="S308" s="2"/>
      <c r="V308" s="2"/>
      <c r="AH308" s="90"/>
      <c r="AM308" s="90"/>
    </row>
    <row r="309">
      <c r="D309" s="2"/>
      <c r="E309" s="2"/>
      <c r="F309" s="2"/>
      <c r="I309" s="2"/>
      <c r="M309" s="2"/>
      <c r="S309" s="2"/>
      <c r="V309" s="2"/>
      <c r="AH309" s="90"/>
      <c r="AM309" s="90"/>
    </row>
    <row r="310">
      <c r="D310" s="2"/>
      <c r="E310" s="2"/>
      <c r="F310" s="2"/>
      <c r="I310" s="2"/>
      <c r="M310" s="2"/>
      <c r="S310" s="2"/>
      <c r="V310" s="2"/>
      <c r="AH310" s="90"/>
      <c r="AM310" s="90"/>
    </row>
    <row r="311">
      <c r="D311" s="2"/>
      <c r="E311" s="2"/>
      <c r="F311" s="2"/>
      <c r="I311" s="2"/>
      <c r="M311" s="2"/>
      <c r="S311" s="2"/>
      <c r="V311" s="2"/>
      <c r="AH311" s="90"/>
      <c r="AM311" s="90"/>
    </row>
    <row r="312">
      <c r="D312" s="2"/>
      <c r="E312" s="2"/>
      <c r="F312" s="2"/>
      <c r="I312" s="2"/>
      <c r="M312" s="2"/>
      <c r="S312" s="2"/>
      <c r="V312" s="2"/>
      <c r="AH312" s="90"/>
      <c r="AM312" s="90"/>
    </row>
    <row r="313">
      <c r="D313" s="2"/>
      <c r="E313" s="2"/>
      <c r="F313" s="2"/>
      <c r="I313" s="2"/>
      <c r="M313" s="2"/>
      <c r="S313" s="2"/>
      <c r="V313" s="2"/>
      <c r="AH313" s="90"/>
      <c r="AM313" s="90"/>
    </row>
    <row r="314">
      <c r="D314" s="2"/>
      <c r="E314" s="2"/>
      <c r="F314" s="2"/>
      <c r="I314" s="2"/>
      <c r="M314" s="2"/>
      <c r="S314" s="2"/>
      <c r="V314" s="2"/>
      <c r="AH314" s="90"/>
      <c r="AM314" s="90"/>
    </row>
    <row r="315">
      <c r="D315" s="2"/>
      <c r="E315" s="2"/>
      <c r="F315" s="2"/>
      <c r="I315" s="2"/>
      <c r="M315" s="2"/>
      <c r="S315" s="2"/>
      <c r="V315" s="2"/>
      <c r="AH315" s="90"/>
      <c r="AM315" s="90"/>
    </row>
    <row r="316">
      <c r="D316" s="2"/>
      <c r="E316" s="2"/>
      <c r="F316" s="2"/>
      <c r="I316" s="2"/>
      <c r="M316" s="2"/>
      <c r="S316" s="2"/>
      <c r="V316" s="2"/>
      <c r="AH316" s="90"/>
      <c r="AM316" s="90"/>
    </row>
    <row r="317">
      <c r="D317" s="2"/>
      <c r="E317" s="2"/>
      <c r="F317" s="2"/>
      <c r="I317" s="2"/>
      <c r="M317" s="2"/>
      <c r="S317" s="2"/>
      <c r="V317" s="2"/>
      <c r="AH317" s="90"/>
      <c r="AM317" s="90"/>
    </row>
    <row r="318">
      <c r="D318" s="2"/>
      <c r="E318" s="2"/>
      <c r="F318" s="2"/>
      <c r="I318" s="2"/>
      <c r="M318" s="2"/>
      <c r="S318" s="2"/>
      <c r="V318" s="2"/>
      <c r="AH318" s="90"/>
      <c r="AM318" s="90"/>
    </row>
    <row r="319">
      <c r="D319" s="2"/>
      <c r="E319" s="2"/>
      <c r="F319" s="2"/>
      <c r="I319" s="2"/>
      <c r="M319" s="2"/>
      <c r="S319" s="2"/>
      <c r="V319" s="2"/>
      <c r="AH319" s="90"/>
      <c r="AM319" s="90"/>
    </row>
    <row r="320">
      <c r="D320" s="2"/>
      <c r="E320" s="2"/>
      <c r="F320" s="2"/>
      <c r="I320" s="2"/>
      <c r="M320" s="2"/>
      <c r="S320" s="2"/>
      <c r="V320" s="2"/>
      <c r="AH320" s="90"/>
      <c r="AM320" s="90"/>
    </row>
    <row r="321">
      <c r="D321" s="2"/>
      <c r="E321" s="2"/>
      <c r="F321" s="2"/>
      <c r="I321" s="2"/>
      <c r="M321" s="2"/>
      <c r="S321" s="2"/>
      <c r="V321" s="2"/>
      <c r="AH321" s="90"/>
      <c r="AM321" s="90"/>
    </row>
    <row r="322">
      <c r="D322" s="2"/>
      <c r="E322" s="2"/>
      <c r="F322" s="2"/>
      <c r="I322" s="2"/>
      <c r="M322" s="2"/>
      <c r="S322" s="2"/>
      <c r="V322" s="2"/>
      <c r="AH322" s="90"/>
      <c r="AM322" s="90"/>
    </row>
    <row r="323">
      <c r="D323" s="2"/>
      <c r="E323" s="2"/>
      <c r="F323" s="2"/>
      <c r="I323" s="2"/>
      <c r="M323" s="2"/>
      <c r="S323" s="2"/>
      <c r="V323" s="2"/>
      <c r="AH323" s="90"/>
      <c r="AM323" s="90"/>
    </row>
    <row r="324">
      <c r="D324" s="2"/>
      <c r="E324" s="2"/>
      <c r="F324" s="2"/>
      <c r="I324" s="2"/>
      <c r="M324" s="2"/>
      <c r="S324" s="2"/>
      <c r="V324" s="2"/>
      <c r="AH324" s="90"/>
      <c r="AM324" s="90"/>
    </row>
    <row r="325">
      <c r="D325" s="2"/>
      <c r="E325" s="2"/>
      <c r="F325" s="2"/>
      <c r="I325" s="2"/>
      <c r="M325" s="2"/>
      <c r="S325" s="2"/>
      <c r="V325" s="2"/>
      <c r="AH325" s="90"/>
      <c r="AM325" s="90"/>
    </row>
    <row r="326">
      <c r="D326" s="2"/>
      <c r="E326" s="2"/>
      <c r="F326" s="2"/>
      <c r="I326" s="2"/>
      <c r="M326" s="2"/>
      <c r="S326" s="2"/>
      <c r="V326" s="2"/>
      <c r="AH326" s="90"/>
      <c r="AM326" s="90"/>
    </row>
    <row r="327">
      <c r="D327" s="2"/>
      <c r="E327" s="2"/>
      <c r="F327" s="2"/>
      <c r="I327" s="2"/>
      <c r="M327" s="2"/>
      <c r="S327" s="2"/>
      <c r="V327" s="2"/>
      <c r="AH327" s="90"/>
      <c r="AM327" s="90"/>
    </row>
    <row r="328">
      <c r="D328" s="2"/>
      <c r="E328" s="2"/>
      <c r="F328" s="2"/>
      <c r="I328" s="2"/>
      <c r="M328" s="2"/>
      <c r="S328" s="2"/>
      <c r="V328" s="2"/>
      <c r="AH328" s="90"/>
      <c r="AM328" s="90"/>
    </row>
    <row r="329">
      <c r="D329" s="2"/>
      <c r="E329" s="2"/>
      <c r="F329" s="2"/>
      <c r="I329" s="2"/>
      <c r="M329" s="2"/>
      <c r="S329" s="2"/>
      <c r="V329" s="2"/>
      <c r="AH329" s="90"/>
      <c r="AM329" s="90"/>
    </row>
    <row r="330">
      <c r="D330" s="2"/>
      <c r="E330" s="2"/>
      <c r="F330" s="2"/>
      <c r="I330" s="2"/>
      <c r="M330" s="2"/>
      <c r="S330" s="2"/>
      <c r="V330" s="2"/>
      <c r="AH330" s="90"/>
      <c r="AM330" s="90"/>
    </row>
    <row r="331">
      <c r="D331" s="2"/>
      <c r="E331" s="2"/>
      <c r="F331" s="2"/>
      <c r="I331" s="2"/>
      <c r="M331" s="2"/>
      <c r="S331" s="2"/>
      <c r="V331" s="2"/>
      <c r="AH331" s="90"/>
      <c r="AM331" s="90"/>
    </row>
    <row r="332">
      <c r="D332" s="2"/>
      <c r="E332" s="2"/>
      <c r="F332" s="2"/>
      <c r="I332" s="2"/>
      <c r="M332" s="2"/>
      <c r="S332" s="2"/>
      <c r="V332" s="2"/>
      <c r="AH332" s="90"/>
      <c r="AM332" s="90"/>
    </row>
    <row r="333">
      <c r="D333" s="2"/>
      <c r="E333" s="2"/>
      <c r="F333" s="2"/>
      <c r="I333" s="2"/>
      <c r="M333" s="2"/>
      <c r="S333" s="2"/>
      <c r="V333" s="2"/>
      <c r="AH333" s="90"/>
      <c r="AM333" s="90"/>
    </row>
    <row r="334">
      <c r="D334" s="2"/>
      <c r="E334" s="2"/>
      <c r="F334" s="2"/>
      <c r="I334" s="2"/>
      <c r="M334" s="2"/>
      <c r="S334" s="2"/>
      <c r="V334" s="2"/>
      <c r="AH334" s="90"/>
      <c r="AM334" s="90"/>
    </row>
    <row r="335">
      <c r="D335" s="2"/>
      <c r="E335" s="2"/>
      <c r="F335" s="2"/>
      <c r="I335" s="2"/>
      <c r="M335" s="2"/>
      <c r="S335" s="2"/>
      <c r="V335" s="2"/>
      <c r="AH335" s="90"/>
      <c r="AM335" s="90"/>
    </row>
    <row r="336">
      <c r="D336" s="2"/>
      <c r="E336" s="2"/>
      <c r="F336" s="2"/>
      <c r="I336" s="2"/>
      <c r="M336" s="2"/>
      <c r="S336" s="2"/>
      <c r="V336" s="2"/>
      <c r="AH336" s="90"/>
      <c r="AM336" s="90"/>
    </row>
    <row r="337">
      <c r="D337" s="2"/>
      <c r="E337" s="2"/>
      <c r="F337" s="2"/>
      <c r="I337" s="2"/>
      <c r="M337" s="2"/>
      <c r="S337" s="2"/>
      <c r="V337" s="2"/>
      <c r="AH337" s="90"/>
      <c r="AM337" s="90"/>
    </row>
    <row r="338">
      <c r="D338" s="2"/>
      <c r="E338" s="2"/>
      <c r="F338" s="2"/>
      <c r="I338" s="2"/>
      <c r="M338" s="2"/>
      <c r="S338" s="2"/>
      <c r="V338" s="2"/>
      <c r="AH338" s="90"/>
      <c r="AM338" s="90"/>
    </row>
    <row r="339">
      <c r="D339" s="2"/>
      <c r="E339" s="2"/>
      <c r="F339" s="2"/>
      <c r="I339" s="2"/>
      <c r="M339" s="2"/>
      <c r="S339" s="2"/>
      <c r="V339" s="2"/>
      <c r="AH339" s="90"/>
      <c r="AM339" s="90"/>
    </row>
    <row r="340">
      <c r="D340" s="2"/>
      <c r="E340" s="2"/>
      <c r="F340" s="2"/>
      <c r="I340" s="2"/>
      <c r="M340" s="2"/>
      <c r="S340" s="2"/>
      <c r="V340" s="2"/>
      <c r="AH340" s="90"/>
      <c r="AM340" s="90"/>
    </row>
    <row r="341">
      <c r="D341" s="2"/>
      <c r="E341" s="2"/>
      <c r="F341" s="2"/>
      <c r="I341" s="2"/>
      <c r="M341" s="2"/>
      <c r="S341" s="2"/>
      <c r="V341" s="2"/>
      <c r="AH341" s="90"/>
      <c r="AM341" s="90"/>
    </row>
    <row r="342">
      <c r="D342" s="2"/>
      <c r="E342" s="2"/>
      <c r="F342" s="2"/>
      <c r="I342" s="2"/>
      <c r="M342" s="2"/>
      <c r="S342" s="2"/>
      <c r="V342" s="2"/>
      <c r="AH342" s="90"/>
      <c r="AM342" s="90"/>
    </row>
    <row r="343">
      <c r="D343" s="2"/>
      <c r="E343" s="2"/>
      <c r="F343" s="2"/>
      <c r="I343" s="2"/>
      <c r="M343" s="2"/>
      <c r="S343" s="2"/>
      <c r="V343" s="2"/>
      <c r="AH343" s="90"/>
      <c r="AM343" s="90"/>
    </row>
    <row r="344">
      <c r="D344" s="2"/>
      <c r="E344" s="2"/>
      <c r="F344" s="2"/>
      <c r="I344" s="2"/>
      <c r="M344" s="2"/>
      <c r="S344" s="2"/>
      <c r="V344" s="2"/>
      <c r="AH344" s="90"/>
      <c r="AM344" s="90"/>
    </row>
    <row r="345">
      <c r="D345" s="2"/>
      <c r="E345" s="2"/>
      <c r="F345" s="2"/>
      <c r="I345" s="2"/>
      <c r="M345" s="2"/>
      <c r="S345" s="2"/>
      <c r="V345" s="2"/>
      <c r="AH345" s="90"/>
      <c r="AM345" s="90"/>
    </row>
    <row r="346">
      <c r="D346" s="2"/>
      <c r="E346" s="2"/>
      <c r="F346" s="2"/>
      <c r="I346" s="2"/>
      <c r="M346" s="2"/>
      <c r="S346" s="2"/>
      <c r="V346" s="2"/>
      <c r="AH346" s="90"/>
      <c r="AM346" s="90"/>
    </row>
    <row r="347">
      <c r="D347" s="2"/>
      <c r="E347" s="2"/>
      <c r="F347" s="2"/>
      <c r="I347" s="2"/>
      <c r="M347" s="2"/>
      <c r="S347" s="2"/>
      <c r="V347" s="2"/>
      <c r="AH347" s="90"/>
      <c r="AM347" s="90"/>
    </row>
    <row r="348">
      <c r="D348" s="2"/>
      <c r="E348" s="2"/>
      <c r="F348" s="2"/>
      <c r="I348" s="2"/>
      <c r="M348" s="2"/>
      <c r="S348" s="2"/>
      <c r="V348" s="2"/>
      <c r="AH348" s="90"/>
      <c r="AM348" s="90"/>
    </row>
    <row r="349">
      <c r="D349" s="2"/>
      <c r="E349" s="2"/>
      <c r="F349" s="2"/>
      <c r="I349" s="2"/>
      <c r="M349" s="2"/>
      <c r="S349" s="2"/>
      <c r="V349" s="2"/>
      <c r="AH349" s="90"/>
      <c r="AM349" s="90"/>
    </row>
    <row r="350">
      <c r="D350" s="2"/>
      <c r="E350" s="2"/>
      <c r="F350" s="2"/>
      <c r="I350" s="2"/>
      <c r="M350" s="2"/>
      <c r="S350" s="2"/>
      <c r="V350" s="2"/>
      <c r="AH350" s="90"/>
      <c r="AM350" s="90"/>
    </row>
    <row r="351">
      <c r="D351" s="2"/>
      <c r="E351" s="2"/>
      <c r="F351" s="2"/>
      <c r="I351" s="2"/>
      <c r="M351" s="2"/>
      <c r="S351" s="2"/>
      <c r="V351" s="2"/>
      <c r="AH351" s="90"/>
      <c r="AM351" s="90"/>
    </row>
    <row r="352">
      <c r="D352" s="2"/>
      <c r="E352" s="2"/>
      <c r="F352" s="2"/>
      <c r="I352" s="2"/>
      <c r="M352" s="2"/>
      <c r="S352" s="2"/>
      <c r="V352" s="2"/>
      <c r="AH352" s="90"/>
      <c r="AM352" s="90"/>
    </row>
    <row r="353">
      <c r="D353" s="2"/>
      <c r="E353" s="2"/>
      <c r="F353" s="2"/>
      <c r="I353" s="2"/>
      <c r="M353" s="2"/>
      <c r="S353" s="2"/>
      <c r="V353" s="2"/>
      <c r="AH353" s="90"/>
      <c r="AM353" s="90"/>
    </row>
    <row r="354">
      <c r="D354" s="2"/>
      <c r="E354" s="2"/>
      <c r="F354" s="2"/>
      <c r="I354" s="2"/>
      <c r="M354" s="2"/>
      <c r="S354" s="2"/>
      <c r="V354" s="2"/>
      <c r="AH354" s="90"/>
      <c r="AM354" s="90"/>
    </row>
    <row r="355">
      <c r="D355" s="2"/>
      <c r="E355" s="2"/>
      <c r="F355" s="2"/>
      <c r="I355" s="2"/>
      <c r="M355" s="2"/>
      <c r="S355" s="2"/>
      <c r="V355" s="2"/>
      <c r="AH355" s="90"/>
      <c r="AM355" s="90"/>
    </row>
    <row r="356">
      <c r="D356" s="2"/>
      <c r="E356" s="2"/>
      <c r="F356" s="2"/>
      <c r="I356" s="2"/>
      <c r="M356" s="2"/>
      <c r="S356" s="2"/>
      <c r="V356" s="2"/>
      <c r="AH356" s="90"/>
      <c r="AM356" s="90"/>
    </row>
    <row r="357">
      <c r="D357" s="2"/>
      <c r="E357" s="2"/>
      <c r="F357" s="2"/>
      <c r="I357" s="2"/>
      <c r="M357" s="2"/>
      <c r="S357" s="2"/>
      <c r="V357" s="2"/>
      <c r="AH357" s="90"/>
      <c r="AM357" s="90"/>
    </row>
    <row r="358">
      <c r="D358" s="2"/>
      <c r="E358" s="2"/>
      <c r="F358" s="2"/>
      <c r="I358" s="2"/>
      <c r="M358" s="2"/>
      <c r="S358" s="2"/>
      <c r="V358" s="2"/>
      <c r="AH358" s="90"/>
      <c r="AM358" s="90"/>
    </row>
    <row r="359">
      <c r="D359" s="2"/>
      <c r="E359" s="2"/>
      <c r="F359" s="2"/>
      <c r="I359" s="2"/>
      <c r="M359" s="2"/>
      <c r="S359" s="2"/>
      <c r="V359" s="2"/>
      <c r="AH359" s="90"/>
      <c r="AM359" s="90"/>
    </row>
    <row r="360">
      <c r="D360" s="2"/>
      <c r="E360" s="2"/>
      <c r="F360" s="2"/>
      <c r="I360" s="2"/>
      <c r="M360" s="2"/>
      <c r="S360" s="2"/>
      <c r="V360" s="2"/>
      <c r="AH360" s="90"/>
      <c r="AM360" s="90"/>
    </row>
    <row r="361">
      <c r="D361" s="2"/>
      <c r="E361" s="2"/>
      <c r="F361" s="2"/>
      <c r="I361" s="2"/>
      <c r="M361" s="2"/>
      <c r="S361" s="2"/>
      <c r="V361" s="2"/>
      <c r="AH361" s="90"/>
      <c r="AM361" s="90"/>
    </row>
    <row r="362">
      <c r="D362" s="2"/>
      <c r="E362" s="2"/>
      <c r="F362" s="2"/>
      <c r="I362" s="2"/>
      <c r="M362" s="2"/>
      <c r="S362" s="2"/>
      <c r="V362" s="2"/>
      <c r="AH362" s="90"/>
      <c r="AM362" s="90"/>
    </row>
    <row r="363">
      <c r="D363" s="2"/>
      <c r="E363" s="2"/>
      <c r="F363" s="2"/>
      <c r="I363" s="2"/>
      <c r="M363" s="2"/>
      <c r="S363" s="2"/>
      <c r="V363" s="2"/>
      <c r="AH363" s="90"/>
      <c r="AM363" s="90"/>
    </row>
    <row r="364">
      <c r="D364" s="2"/>
      <c r="E364" s="2"/>
      <c r="F364" s="2"/>
      <c r="I364" s="2"/>
      <c r="M364" s="2"/>
      <c r="S364" s="2"/>
      <c r="V364" s="2"/>
      <c r="AH364" s="90"/>
      <c r="AM364" s="90"/>
    </row>
    <row r="365">
      <c r="D365" s="2"/>
      <c r="E365" s="2"/>
      <c r="F365" s="2"/>
      <c r="I365" s="2"/>
      <c r="M365" s="2"/>
      <c r="S365" s="2"/>
      <c r="V365" s="2"/>
      <c r="AH365" s="90"/>
      <c r="AM365" s="90"/>
    </row>
    <row r="366">
      <c r="D366" s="2"/>
      <c r="E366" s="2"/>
      <c r="F366" s="2"/>
      <c r="I366" s="2"/>
      <c r="M366" s="2"/>
      <c r="S366" s="2"/>
      <c r="V366" s="2"/>
      <c r="AH366" s="90"/>
      <c r="AM366" s="90"/>
    </row>
    <row r="367">
      <c r="D367" s="2"/>
      <c r="E367" s="2"/>
      <c r="F367" s="2"/>
      <c r="I367" s="2"/>
      <c r="M367" s="2"/>
      <c r="S367" s="2"/>
      <c r="V367" s="2"/>
      <c r="AH367" s="90"/>
      <c r="AM367" s="90"/>
    </row>
    <row r="368">
      <c r="D368" s="2"/>
      <c r="E368" s="2"/>
      <c r="F368" s="2"/>
      <c r="I368" s="2"/>
      <c r="M368" s="2"/>
      <c r="S368" s="2"/>
      <c r="V368" s="2"/>
      <c r="AH368" s="90"/>
      <c r="AM368" s="90"/>
    </row>
    <row r="369">
      <c r="D369" s="2"/>
      <c r="E369" s="2"/>
      <c r="F369" s="2"/>
      <c r="I369" s="2"/>
      <c r="M369" s="2"/>
      <c r="S369" s="2"/>
      <c r="V369" s="2"/>
      <c r="AH369" s="90"/>
      <c r="AM369" s="90"/>
    </row>
    <row r="370">
      <c r="D370" s="2"/>
      <c r="E370" s="2"/>
      <c r="F370" s="2"/>
      <c r="I370" s="2"/>
      <c r="M370" s="2"/>
      <c r="S370" s="2"/>
      <c r="V370" s="2"/>
      <c r="AH370" s="90"/>
      <c r="AM370" s="90"/>
    </row>
    <row r="371">
      <c r="D371" s="2"/>
      <c r="E371" s="2"/>
      <c r="F371" s="2"/>
      <c r="I371" s="2"/>
      <c r="M371" s="2"/>
      <c r="S371" s="2"/>
      <c r="V371" s="2"/>
      <c r="AH371" s="90"/>
      <c r="AM371" s="90"/>
    </row>
    <row r="372">
      <c r="D372" s="2"/>
      <c r="E372" s="2"/>
      <c r="F372" s="2"/>
      <c r="I372" s="2"/>
      <c r="M372" s="2"/>
      <c r="S372" s="2"/>
      <c r="V372" s="2"/>
      <c r="AH372" s="90"/>
      <c r="AM372" s="90"/>
    </row>
    <row r="373">
      <c r="D373" s="2"/>
      <c r="E373" s="2"/>
      <c r="F373" s="2"/>
      <c r="I373" s="2"/>
      <c r="M373" s="2"/>
      <c r="S373" s="2"/>
      <c r="V373" s="2"/>
      <c r="AH373" s="90"/>
      <c r="AM373" s="90"/>
    </row>
    <row r="374">
      <c r="D374" s="2"/>
      <c r="E374" s="2"/>
      <c r="F374" s="2"/>
      <c r="I374" s="2"/>
      <c r="M374" s="2"/>
      <c r="S374" s="2"/>
      <c r="V374" s="2"/>
      <c r="AH374" s="90"/>
      <c r="AM374" s="90"/>
    </row>
    <row r="375">
      <c r="D375" s="2"/>
      <c r="E375" s="2"/>
      <c r="F375" s="2"/>
      <c r="I375" s="2"/>
      <c r="M375" s="2"/>
      <c r="S375" s="2"/>
      <c r="V375" s="2"/>
      <c r="AH375" s="90"/>
      <c r="AM375" s="90"/>
    </row>
    <row r="376">
      <c r="D376" s="2"/>
      <c r="E376" s="2"/>
      <c r="F376" s="2"/>
      <c r="I376" s="2"/>
      <c r="M376" s="2"/>
      <c r="S376" s="2"/>
      <c r="V376" s="2"/>
      <c r="AH376" s="90"/>
      <c r="AM376" s="90"/>
    </row>
    <row r="377">
      <c r="D377" s="2"/>
      <c r="E377" s="2"/>
      <c r="F377" s="2"/>
      <c r="I377" s="2"/>
      <c r="M377" s="2"/>
      <c r="S377" s="2"/>
      <c r="V377" s="2"/>
      <c r="AH377" s="90"/>
      <c r="AM377" s="90"/>
    </row>
    <row r="378">
      <c r="D378" s="2"/>
      <c r="E378" s="2"/>
      <c r="F378" s="2"/>
      <c r="I378" s="2"/>
      <c r="M378" s="2"/>
      <c r="S378" s="2"/>
      <c r="V378" s="2"/>
      <c r="AH378" s="90"/>
      <c r="AM378" s="90"/>
    </row>
    <row r="379">
      <c r="D379" s="2"/>
      <c r="E379" s="2"/>
      <c r="F379" s="2"/>
      <c r="I379" s="2"/>
      <c r="M379" s="2"/>
      <c r="S379" s="2"/>
      <c r="V379" s="2"/>
      <c r="AH379" s="90"/>
      <c r="AM379" s="90"/>
    </row>
    <row r="380">
      <c r="D380" s="2"/>
      <c r="E380" s="2"/>
      <c r="F380" s="2"/>
      <c r="I380" s="2"/>
      <c r="M380" s="2"/>
      <c r="S380" s="2"/>
      <c r="V380" s="2"/>
      <c r="AH380" s="90"/>
      <c r="AM380" s="90"/>
    </row>
    <row r="381">
      <c r="D381" s="2"/>
      <c r="E381" s="2"/>
      <c r="F381" s="2"/>
      <c r="I381" s="2"/>
      <c r="M381" s="2"/>
      <c r="S381" s="2"/>
      <c r="V381" s="2"/>
      <c r="AH381" s="90"/>
      <c r="AM381" s="90"/>
    </row>
    <row r="382">
      <c r="D382" s="2"/>
      <c r="E382" s="2"/>
      <c r="F382" s="2"/>
      <c r="I382" s="2"/>
      <c r="M382" s="2"/>
      <c r="S382" s="2"/>
      <c r="V382" s="2"/>
      <c r="AH382" s="90"/>
      <c r="AM382" s="90"/>
    </row>
    <row r="383">
      <c r="D383" s="2"/>
      <c r="E383" s="2"/>
      <c r="F383" s="2"/>
      <c r="I383" s="2"/>
      <c r="M383" s="2"/>
      <c r="S383" s="2"/>
      <c r="V383" s="2"/>
      <c r="AH383" s="90"/>
      <c r="AM383" s="90"/>
    </row>
    <row r="384">
      <c r="D384" s="2"/>
      <c r="E384" s="2"/>
      <c r="F384" s="2"/>
      <c r="I384" s="2"/>
      <c r="M384" s="2"/>
      <c r="S384" s="2"/>
      <c r="V384" s="2"/>
      <c r="AH384" s="90"/>
      <c r="AM384" s="90"/>
    </row>
    <row r="385">
      <c r="D385" s="2"/>
      <c r="E385" s="2"/>
      <c r="F385" s="2"/>
      <c r="I385" s="2"/>
      <c r="M385" s="2"/>
      <c r="S385" s="2"/>
      <c r="V385" s="2"/>
      <c r="AH385" s="90"/>
      <c r="AM385" s="90"/>
    </row>
    <row r="386">
      <c r="D386" s="2"/>
      <c r="E386" s="2"/>
      <c r="F386" s="2"/>
      <c r="I386" s="2"/>
      <c r="M386" s="2"/>
      <c r="S386" s="2"/>
      <c r="V386" s="2"/>
      <c r="AH386" s="90"/>
      <c r="AM386" s="90"/>
    </row>
    <row r="387">
      <c r="D387" s="2"/>
      <c r="E387" s="2"/>
      <c r="F387" s="2"/>
      <c r="I387" s="2"/>
      <c r="M387" s="2"/>
      <c r="S387" s="2"/>
      <c r="V387" s="2"/>
      <c r="AH387" s="90"/>
      <c r="AM387" s="90"/>
    </row>
    <row r="388">
      <c r="D388" s="2"/>
      <c r="E388" s="2"/>
      <c r="F388" s="2"/>
      <c r="I388" s="2"/>
      <c r="M388" s="2"/>
      <c r="S388" s="2"/>
      <c r="V388" s="2"/>
      <c r="AH388" s="90"/>
      <c r="AM388" s="90"/>
    </row>
    <row r="389">
      <c r="D389" s="2"/>
      <c r="E389" s="2"/>
      <c r="F389" s="2"/>
      <c r="I389" s="2"/>
      <c r="M389" s="2"/>
      <c r="S389" s="2"/>
      <c r="V389" s="2"/>
      <c r="AH389" s="90"/>
      <c r="AM389" s="90"/>
    </row>
    <row r="390">
      <c r="D390" s="2"/>
      <c r="E390" s="2"/>
      <c r="F390" s="2"/>
      <c r="I390" s="2"/>
      <c r="M390" s="2"/>
      <c r="S390" s="2"/>
      <c r="V390" s="2"/>
      <c r="AH390" s="90"/>
      <c r="AM390" s="90"/>
    </row>
    <row r="391">
      <c r="D391" s="2"/>
      <c r="E391" s="2"/>
      <c r="F391" s="2"/>
      <c r="I391" s="2"/>
      <c r="M391" s="2"/>
      <c r="S391" s="2"/>
      <c r="V391" s="2"/>
      <c r="AH391" s="90"/>
      <c r="AM391" s="90"/>
    </row>
    <row r="392">
      <c r="D392" s="2"/>
      <c r="E392" s="2"/>
      <c r="F392" s="2"/>
      <c r="I392" s="2"/>
      <c r="M392" s="2"/>
      <c r="S392" s="2"/>
      <c r="V392" s="2"/>
      <c r="AH392" s="90"/>
      <c r="AM392" s="90"/>
    </row>
    <row r="393">
      <c r="D393" s="2"/>
      <c r="E393" s="2"/>
      <c r="F393" s="2"/>
      <c r="I393" s="2"/>
      <c r="M393" s="2"/>
      <c r="S393" s="2"/>
      <c r="V393" s="2"/>
      <c r="AH393" s="90"/>
      <c r="AM393" s="90"/>
    </row>
    <row r="394">
      <c r="D394" s="2"/>
      <c r="E394" s="2"/>
      <c r="F394" s="2"/>
      <c r="I394" s="2"/>
      <c r="M394" s="2"/>
      <c r="S394" s="2"/>
      <c r="V394" s="2"/>
      <c r="AH394" s="90"/>
      <c r="AM394" s="90"/>
    </row>
    <row r="395">
      <c r="D395" s="2"/>
      <c r="E395" s="2"/>
      <c r="F395" s="2"/>
      <c r="I395" s="2"/>
      <c r="M395" s="2"/>
      <c r="S395" s="2"/>
      <c r="V395" s="2"/>
      <c r="AH395" s="90"/>
      <c r="AM395" s="90"/>
    </row>
    <row r="396">
      <c r="D396" s="2"/>
      <c r="E396" s="2"/>
      <c r="F396" s="2"/>
      <c r="I396" s="2"/>
      <c r="M396" s="2"/>
      <c r="S396" s="2"/>
      <c r="V396" s="2"/>
      <c r="AH396" s="90"/>
      <c r="AM396" s="90"/>
    </row>
    <row r="397">
      <c r="D397" s="2"/>
      <c r="E397" s="2"/>
      <c r="F397" s="2"/>
      <c r="I397" s="2"/>
      <c r="M397" s="2"/>
      <c r="S397" s="2"/>
      <c r="V397" s="2"/>
      <c r="AH397" s="90"/>
      <c r="AM397" s="90"/>
    </row>
    <row r="398">
      <c r="D398" s="2"/>
      <c r="E398" s="2"/>
      <c r="F398" s="2"/>
      <c r="I398" s="2"/>
      <c r="M398" s="2"/>
      <c r="S398" s="2"/>
      <c r="V398" s="2"/>
      <c r="AH398" s="90"/>
      <c r="AM398" s="90"/>
    </row>
    <row r="399">
      <c r="D399" s="2"/>
      <c r="E399" s="2"/>
      <c r="F399" s="2"/>
      <c r="I399" s="2"/>
      <c r="M399" s="2"/>
      <c r="S399" s="2"/>
      <c r="V399" s="2"/>
      <c r="AH399" s="90"/>
      <c r="AM399" s="90"/>
    </row>
    <row r="400">
      <c r="D400" s="2"/>
      <c r="E400" s="2"/>
      <c r="F400" s="2"/>
      <c r="I400" s="2"/>
      <c r="M400" s="2"/>
      <c r="S400" s="2"/>
      <c r="V400" s="2"/>
      <c r="AH400" s="90"/>
      <c r="AM400" s="90"/>
    </row>
    <row r="401">
      <c r="D401" s="2"/>
      <c r="E401" s="2"/>
      <c r="F401" s="2"/>
      <c r="I401" s="2"/>
      <c r="M401" s="2"/>
      <c r="S401" s="2"/>
      <c r="V401" s="2"/>
      <c r="AH401" s="90"/>
      <c r="AM401" s="90"/>
    </row>
    <row r="402">
      <c r="D402" s="2"/>
      <c r="E402" s="2"/>
      <c r="F402" s="2"/>
      <c r="I402" s="2"/>
      <c r="M402" s="2"/>
      <c r="S402" s="2"/>
      <c r="V402" s="2"/>
      <c r="AH402" s="90"/>
      <c r="AM402" s="90"/>
    </row>
    <row r="403">
      <c r="D403" s="2"/>
      <c r="E403" s="2"/>
      <c r="F403" s="2"/>
      <c r="I403" s="2"/>
      <c r="M403" s="2"/>
      <c r="S403" s="2"/>
      <c r="V403" s="2"/>
      <c r="AH403" s="90"/>
      <c r="AM403" s="90"/>
    </row>
    <row r="404">
      <c r="D404" s="2"/>
      <c r="E404" s="2"/>
      <c r="F404" s="2"/>
      <c r="I404" s="2"/>
      <c r="M404" s="2"/>
      <c r="S404" s="2"/>
      <c r="V404" s="2"/>
      <c r="AH404" s="90"/>
      <c r="AM404" s="90"/>
    </row>
    <row r="405">
      <c r="D405" s="2"/>
      <c r="E405" s="2"/>
      <c r="F405" s="2"/>
      <c r="I405" s="2"/>
      <c r="M405" s="2"/>
      <c r="S405" s="2"/>
      <c r="V405" s="2"/>
      <c r="AH405" s="90"/>
      <c r="AM405" s="90"/>
    </row>
    <row r="406">
      <c r="D406" s="2"/>
      <c r="E406" s="2"/>
      <c r="F406" s="2"/>
      <c r="I406" s="2"/>
      <c r="M406" s="2"/>
      <c r="S406" s="2"/>
      <c r="V406" s="2"/>
      <c r="AH406" s="90"/>
      <c r="AM406" s="90"/>
    </row>
    <row r="407">
      <c r="D407" s="2"/>
      <c r="E407" s="2"/>
      <c r="F407" s="2"/>
      <c r="I407" s="2"/>
      <c r="M407" s="2"/>
      <c r="S407" s="2"/>
      <c r="V407" s="2"/>
      <c r="AH407" s="90"/>
      <c r="AM407" s="90"/>
    </row>
    <row r="408">
      <c r="D408" s="2"/>
      <c r="E408" s="2"/>
      <c r="F408" s="2"/>
      <c r="I408" s="2"/>
      <c r="M408" s="2"/>
      <c r="S408" s="2"/>
      <c r="V408" s="2"/>
      <c r="AH408" s="90"/>
      <c r="AM408" s="90"/>
    </row>
    <row r="409">
      <c r="D409" s="2"/>
      <c r="E409" s="2"/>
      <c r="F409" s="2"/>
      <c r="I409" s="2"/>
      <c r="M409" s="2"/>
      <c r="S409" s="2"/>
      <c r="V409" s="2"/>
      <c r="AH409" s="90"/>
      <c r="AM409" s="90"/>
    </row>
    <row r="410">
      <c r="D410" s="2"/>
      <c r="E410" s="2"/>
      <c r="F410" s="2"/>
      <c r="I410" s="2"/>
      <c r="M410" s="2"/>
      <c r="S410" s="2"/>
      <c r="V410" s="2"/>
      <c r="AH410" s="90"/>
      <c r="AM410" s="90"/>
    </row>
    <row r="411">
      <c r="D411" s="2"/>
      <c r="E411" s="2"/>
      <c r="F411" s="2"/>
      <c r="I411" s="2"/>
      <c r="M411" s="2"/>
      <c r="S411" s="2"/>
      <c r="V411" s="2"/>
      <c r="AH411" s="90"/>
      <c r="AM411" s="90"/>
    </row>
    <row r="412">
      <c r="D412" s="2"/>
      <c r="E412" s="2"/>
      <c r="F412" s="2"/>
      <c r="I412" s="2"/>
      <c r="M412" s="2"/>
      <c r="S412" s="2"/>
      <c r="V412" s="2"/>
      <c r="AH412" s="90"/>
      <c r="AM412" s="90"/>
    </row>
    <row r="413">
      <c r="D413" s="2"/>
      <c r="E413" s="2"/>
      <c r="F413" s="2"/>
      <c r="I413" s="2"/>
      <c r="M413" s="2"/>
      <c r="S413" s="2"/>
      <c r="V413" s="2"/>
      <c r="AH413" s="90"/>
      <c r="AM413" s="90"/>
    </row>
    <row r="414">
      <c r="D414" s="2"/>
      <c r="E414" s="2"/>
      <c r="F414" s="2"/>
      <c r="I414" s="2"/>
      <c r="M414" s="2"/>
      <c r="S414" s="2"/>
      <c r="V414" s="2"/>
      <c r="AH414" s="90"/>
      <c r="AM414" s="90"/>
    </row>
    <row r="415">
      <c r="D415" s="2"/>
      <c r="E415" s="2"/>
      <c r="F415" s="2"/>
      <c r="I415" s="2"/>
      <c r="M415" s="2"/>
      <c r="S415" s="2"/>
      <c r="V415" s="2"/>
      <c r="AH415" s="90"/>
      <c r="AM415" s="90"/>
    </row>
    <row r="416">
      <c r="D416" s="2"/>
      <c r="E416" s="2"/>
      <c r="F416" s="2"/>
      <c r="I416" s="2"/>
      <c r="M416" s="2"/>
      <c r="S416" s="2"/>
      <c r="V416" s="2"/>
      <c r="AH416" s="90"/>
      <c r="AM416" s="90"/>
    </row>
    <row r="417">
      <c r="D417" s="2"/>
      <c r="E417" s="2"/>
      <c r="F417" s="2"/>
      <c r="I417" s="2"/>
      <c r="M417" s="2"/>
      <c r="S417" s="2"/>
      <c r="V417" s="2"/>
      <c r="AH417" s="90"/>
      <c r="AM417" s="90"/>
    </row>
    <row r="418">
      <c r="D418" s="2"/>
      <c r="E418" s="2"/>
      <c r="F418" s="2"/>
      <c r="I418" s="2"/>
      <c r="M418" s="2"/>
      <c r="S418" s="2"/>
      <c r="V418" s="2"/>
      <c r="AH418" s="90"/>
      <c r="AM418" s="90"/>
    </row>
    <row r="419">
      <c r="D419" s="2"/>
      <c r="E419" s="2"/>
      <c r="F419" s="2"/>
      <c r="I419" s="2"/>
      <c r="M419" s="2"/>
      <c r="S419" s="2"/>
      <c r="V419" s="2"/>
      <c r="AH419" s="90"/>
      <c r="AM419" s="90"/>
    </row>
    <row r="420">
      <c r="D420" s="2"/>
      <c r="E420" s="2"/>
      <c r="F420" s="2"/>
      <c r="I420" s="2"/>
      <c r="M420" s="2"/>
      <c r="S420" s="2"/>
      <c r="V420" s="2"/>
      <c r="AH420" s="90"/>
      <c r="AM420" s="90"/>
    </row>
    <row r="421">
      <c r="D421" s="2"/>
      <c r="E421" s="2"/>
      <c r="F421" s="2"/>
      <c r="I421" s="2"/>
      <c r="M421" s="2"/>
      <c r="S421" s="2"/>
      <c r="V421" s="2"/>
      <c r="AH421" s="90"/>
      <c r="AM421" s="90"/>
    </row>
    <row r="422">
      <c r="D422" s="2"/>
      <c r="E422" s="2"/>
      <c r="F422" s="2"/>
      <c r="I422" s="2"/>
      <c r="M422" s="2"/>
      <c r="S422" s="2"/>
      <c r="V422" s="2"/>
      <c r="AH422" s="90"/>
      <c r="AM422" s="90"/>
    </row>
    <row r="423">
      <c r="D423" s="2"/>
      <c r="E423" s="2"/>
      <c r="F423" s="2"/>
      <c r="I423" s="2"/>
      <c r="M423" s="2"/>
      <c r="S423" s="2"/>
      <c r="V423" s="2"/>
      <c r="AH423" s="90"/>
      <c r="AM423" s="90"/>
    </row>
    <row r="424">
      <c r="D424" s="2"/>
      <c r="E424" s="2"/>
      <c r="F424" s="2"/>
      <c r="I424" s="2"/>
      <c r="M424" s="2"/>
      <c r="S424" s="2"/>
      <c r="V424" s="2"/>
      <c r="AH424" s="90"/>
      <c r="AM424" s="90"/>
    </row>
    <row r="425">
      <c r="D425" s="2"/>
      <c r="E425" s="2"/>
      <c r="F425" s="2"/>
      <c r="I425" s="2"/>
      <c r="M425" s="2"/>
      <c r="S425" s="2"/>
      <c r="V425" s="2"/>
      <c r="AH425" s="90"/>
      <c r="AM425" s="90"/>
    </row>
    <row r="426">
      <c r="D426" s="2"/>
      <c r="E426" s="2"/>
      <c r="F426" s="2"/>
      <c r="I426" s="2"/>
      <c r="M426" s="2"/>
      <c r="S426" s="2"/>
      <c r="V426" s="2"/>
      <c r="AH426" s="90"/>
      <c r="AM426" s="90"/>
    </row>
    <row r="427">
      <c r="D427" s="2"/>
      <c r="E427" s="2"/>
      <c r="F427" s="2"/>
      <c r="I427" s="2"/>
      <c r="M427" s="2"/>
      <c r="S427" s="2"/>
      <c r="V427" s="2"/>
      <c r="AH427" s="90"/>
      <c r="AM427" s="90"/>
    </row>
    <row r="428">
      <c r="D428" s="2"/>
      <c r="E428" s="2"/>
      <c r="F428" s="2"/>
      <c r="I428" s="2"/>
      <c r="M428" s="2"/>
      <c r="S428" s="2"/>
      <c r="V428" s="2"/>
      <c r="AH428" s="90"/>
      <c r="AM428" s="90"/>
    </row>
    <row r="429">
      <c r="D429" s="2"/>
      <c r="E429" s="2"/>
      <c r="F429" s="2"/>
      <c r="I429" s="2"/>
      <c r="M429" s="2"/>
      <c r="S429" s="2"/>
      <c r="V429" s="2"/>
      <c r="AH429" s="90"/>
      <c r="AM429" s="90"/>
    </row>
    <row r="430">
      <c r="D430" s="2"/>
      <c r="E430" s="2"/>
      <c r="F430" s="2"/>
      <c r="I430" s="2"/>
      <c r="M430" s="2"/>
      <c r="S430" s="2"/>
      <c r="V430" s="2"/>
      <c r="AH430" s="90"/>
      <c r="AM430" s="90"/>
    </row>
    <row r="431">
      <c r="D431" s="2"/>
      <c r="E431" s="2"/>
      <c r="F431" s="2"/>
      <c r="I431" s="2"/>
      <c r="M431" s="2"/>
      <c r="S431" s="2"/>
      <c r="V431" s="2"/>
      <c r="AH431" s="90"/>
      <c r="AM431" s="90"/>
    </row>
    <row r="432">
      <c r="D432" s="2"/>
      <c r="E432" s="2"/>
      <c r="F432" s="2"/>
      <c r="I432" s="2"/>
      <c r="M432" s="2"/>
      <c r="S432" s="2"/>
      <c r="V432" s="2"/>
      <c r="AH432" s="90"/>
      <c r="AM432" s="90"/>
    </row>
    <row r="433">
      <c r="D433" s="2"/>
      <c r="E433" s="2"/>
      <c r="F433" s="2"/>
      <c r="I433" s="2"/>
      <c r="M433" s="2"/>
      <c r="S433" s="2"/>
      <c r="V433" s="2"/>
      <c r="AH433" s="90"/>
      <c r="AM433" s="90"/>
    </row>
    <row r="434">
      <c r="D434" s="2"/>
      <c r="E434" s="2"/>
      <c r="F434" s="2"/>
      <c r="I434" s="2"/>
      <c r="M434" s="2"/>
      <c r="S434" s="2"/>
      <c r="V434" s="2"/>
      <c r="AH434" s="90"/>
      <c r="AM434" s="90"/>
    </row>
    <row r="435">
      <c r="D435" s="2"/>
      <c r="E435" s="2"/>
      <c r="F435" s="2"/>
      <c r="I435" s="2"/>
      <c r="M435" s="2"/>
      <c r="S435" s="2"/>
      <c r="V435" s="2"/>
      <c r="AH435" s="90"/>
      <c r="AM435" s="90"/>
    </row>
    <row r="436">
      <c r="D436" s="2"/>
      <c r="E436" s="2"/>
      <c r="F436" s="2"/>
      <c r="I436" s="2"/>
      <c r="M436" s="2"/>
      <c r="S436" s="2"/>
      <c r="V436" s="2"/>
      <c r="AH436" s="90"/>
      <c r="AM436" s="90"/>
    </row>
    <row r="437">
      <c r="D437" s="2"/>
      <c r="E437" s="2"/>
      <c r="F437" s="2"/>
      <c r="I437" s="2"/>
      <c r="M437" s="2"/>
      <c r="S437" s="2"/>
      <c r="V437" s="2"/>
      <c r="AH437" s="90"/>
      <c r="AM437" s="90"/>
    </row>
    <row r="438">
      <c r="D438" s="2"/>
      <c r="E438" s="2"/>
      <c r="F438" s="2"/>
      <c r="I438" s="2"/>
      <c r="M438" s="2"/>
      <c r="S438" s="2"/>
      <c r="V438" s="2"/>
      <c r="AH438" s="90"/>
      <c r="AM438" s="90"/>
    </row>
    <row r="439">
      <c r="D439" s="2"/>
      <c r="E439" s="2"/>
      <c r="F439" s="2"/>
      <c r="I439" s="2"/>
      <c r="M439" s="2"/>
      <c r="S439" s="2"/>
      <c r="V439" s="2"/>
      <c r="AH439" s="90"/>
      <c r="AM439" s="90"/>
    </row>
    <row r="440">
      <c r="D440" s="2"/>
      <c r="E440" s="2"/>
      <c r="F440" s="2"/>
      <c r="I440" s="2"/>
      <c r="M440" s="2"/>
      <c r="S440" s="2"/>
      <c r="V440" s="2"/>
      <c r="AH440" s="90"/>
      <c r="AM440" s="90"/>
    </row>
    <row r="441">
      <c r="D441" s="2"/>
      <c r="E441" s="2"/>
      <c r="F441" s="2"/>
      <c r="I441" s="2"/>
      <c r="M441" s="2"/>
      <c r="S441" s="2"/>
      <c r="V441" s="2"/>
      <c r="AH441" s="90"/>
      <c r="AM441" s="90"/>
    </row>
    <row r="442">
      <c r="D442" s="2"/>
      <c r="E442" s="2"/>
      <c r="F442" s="2"/>
      <c r="I442" s="2"/>
      <c r="M442" s="2"/>
      <c r="S442" s="2"/>
      <c r="V442" s="2"/>
      <c r="AH442" s="90"/>
      <c r="AM442" s="90"/>
    </row>
    <row r="443">
      <c r="D443" s="2"/>
      <c r="E443" s="2"/>
      <c r="F443" s="2"/>
      <c r="I443" s="2"/>
      <c r="M443" s="2"/>
      <c r="S443" s="2"/>
      <c r="V443" s="2"/>
      <c r="AH443" s="90"/>
      <c r="AM443" s="90"/>
    </row>
    <row r="444">
      <c r="D444" s="2"/>
      <c r="E444" s="2"/>
      <c r="F444" s="2"/>
      <c r="I444" s="2"/>
      <c r="M444" s="2"/>
      <c r="S444" s="2"/>
      <c r="V444" s="2"/>
      <c r="AH444" s="90"/>
      <c r="AM444" s="90"/>
    </row>
    <row r="445">
      <c r="D445" s="2"/>
      <c r="E445" s="2"/>
      <c r="F445" s="2"/>
      <c r="I445" s="2"/>
      <c r="M445" s="2"/>
      <c r="S445" s="2"/>
      <c r="V445" s="2"/>
      <c r="AH445" s="90"/>
      <c r="AM445" s="90"/>
    </row>
    <row r="446">
      <c r="D446" s="2"/>
      <c r="E446" s="2"/>
      <c r="F446" s="2"/>
      <c r="I446" s="2"/>
      <c r="M446" s="2"/>
      <c r="S446" s="2"/>
      <c r="V446" s="2"/>
      <c r="AH446" s="90"/>
      <c r="AM446" s="90"/>
    </row>
    <row r="447">
      <c r="D447" s="2"/>
      <c r="E447" s="2"/>
      <c r="F447" s="2"/>
      <c r="I447" s="2"/>
      <c r="M447" s="2"/>
      <c r="S447" s="2"/>
      <c r="V447" s="2"/>
      <c r="AH447" s="90"/>
      <c r="AM447" s="90"/>
    </row>
    <row r="448">
      <c r="D448" s="2"/>
      <c r="E448" s="2"/>
      <c r="F448" s="2"/>
      <c r="I448" s="2"/>
      <c r="M448" s="2"/>
      <c r="S448" s="2"/>
      <c r="V448" s="2"/>
      <c r="AH448" s="90"/>
      <c r="AM448" s="90"/>
    </row>
    <row r="449">
      <c r="D449" s="2"/>
      <c r="E449" s="2"/>
      <c r="F449" s="2"/>
      <c r="I449" s="2"/>
      <c r="M449" s="2"/>
      <c r="S449" s="2"/>
      <c r="V449" s="2"/>
      <c r="AH449" s="90"/>
      <c r="AM449" s="90"/>
    </row>
    <row r="450">
      <c r="D450" s="2"/>
      <c r="E450" s="2"/>
      <c r="F450" s="2"/>
      <c r="I450" s="2"/>
      <c r="M450" s="2"/>
      <c r="S450" s="2"/>
      <c r="V450" s="2"/>
      <c r="AH450" s="90"/>
      <c r="AM450" s="90"/>
    </row>
    <row r="451">
      <c r="D451" s="2"/>
      <c r="E451" s="2"/>
      <c r="F451" s="2"/>
      <c r="I451" s="2"/>
      <c r="M451" s="2"/>
      <c r="S451" s="2"/>
      <c r="V451" s="2"/>
      <c r="AH451" s="90"/>
      <c r="AM451" s="90"/>
    </row>
    <row r="452">
      <c r="D452" s="2"/>
      <c r="E452" s="2"/>
      <c r="F452" s="2"/>
      <c r="I452" s="2"/>
      <c r="M452" s="2"/>
      <c r="S452" s="2"/>
      <c r="V452" s="2"/>
      <c r="AH452" s="90"/>
      <c r="AM452" s="90"/>
    </row>
    <row r="453">
      <c r="D453" s="2"/>
      <c r="E453" s="2"/>
      <c r="F453" s="2"/>
      <c r="I453" s="2"/>
      <c r="M453" s="2"/>
      <c r="S453" s="2"/>
      <c r="V453" s="2"/>
      <c r="AH453" s="90"/>
      <c r="AM453" s="90"/>
    </row>
    <row r="454">
      <c r="D454" s="2"/>
      <c r="E454" s="2"/>
      <c r="F454" s="2"/>
      <c r="I454" s="2"/>
      <c r="M454" s="2"/>
      <c r="S454" s="2"/>
      <c r="V454" s="2"/>
      <c r="AH454" s="90"/>
      <c r="AM454" s="90"/>
    </row>
    <row r="455">
      <c r="D455" s="2"/>
      <c r="E455" s="2"/>
      <c r="F455" s="2"/>
      <c r="I455" s="2"/>
      <c r="M455" s="2"/>
      <c r="S455" s="2"/>
      <c r="V455" s="2"/>
      <c r="AH455" s="90"/>
      <c r="AM455" s="90"/>
    </row>
    <row r="456">
      <c r="D456" s="2"/>
      <c r="E456" s="2"/>
      <c r="F456" s="2"/>
      <c r="I456" s="2"/>
      <c r="M456" s="2"/>
      <c r="S456" s="2"/>
      <c r="V456" s="2"/>
      <c r="AH456" s="90"/>
      <c r="AM456" s="90"/>
    </row>
    <row r="457">
      <c r="D457" s="2"/>
      <c r="E457" s="2"/>
      <c r="F457" s="2"/>
      <c r="I457" s="2"/>
      <c r="M457" s="2"/>
      <c r="S457" s="2"/>
      <c r="V457" s="2"/>
      <c r="AH457" s="90"/>
      <c r="AM457" s="90"/>
    </row>
    <row r="458">
      <c r="D458" s="2"/>
      <c r="E458" s="2"/>
      <c r="F458" s="2"/>
      <c r="I458" s="2"/>
      <c r="M458" s="2"/>
      <c r="S458" s="2"/>
      <c r="V458" s="2"/>
      <c r="AH458" s="90"/>
      <c r="AM458" s="90"/>
    </row>
    <row r="459">
      <c r="D459" s="2"/>
      <c r="E459" s="2"/>
      <c r="F459" s="2"/>
      <c r="I459" s="2"/>
      <c r="M459" s="2"/>
      <c r="S459" s="2"/>
      <c r="V459" s="2"/>
      <c r="AH459" s="90"/>
      <c r="AM459" s="90"/>
    </row>
    <row r="460">
      <c r="D460" s="2"/>
      <c r="E460" s="2"/>
      <c r="F460" s="2"/>
      <c r="I460" s="2"/>
      <c r="M460" s="2"/>
      <c r="S460" s="2"/>
      <c r="V460" s="2"/>
      <c r="AH460" s="90"/>
      <c r="AM460" s="90"/>
    </row>
    <row r="461">
      <c r="D461" s="2"/>
      <c r="E461" s="2"/>
      <c r="F461" s="2"/>
      <c r="I461" s="2"/>
      <c r="M461" s="2"/>
      <c r="S461" s="2"/>
      <c r="V461" s="2"/>
      <c r="AH461" s="90"/>
      <c r="AM461" s="90"/>
    </row>
    <row r="462">
      <c r="D462" s="2"/>
      <c r="E462" s="2"/>
      <c r="F462" s="2"/>
      <c r="I462" s="2"/>
      <c r="M462" s="2"/>
      <c r="S462" s="2"/>
      <c r="V462" s="2"/>
      <c r="AH462" s="90"/>
      <c r="AM462" s="90"/>
    </row>
    <row r="463">
      <c r="D463" s="2"/>
      <c r="E463" s="2"/>
      <c r="F463" s="2"/>
      <c r="I463" s="2"/>
      <c r="M463" s="2"/>
      <c r="S463" s="2"/>
      <c r="V463" s="2"/>
      <c r="AH463" s="90"/>
      <c r="AM463" s="90"/>
    </row>
    <row r="464">
      <c r="D464" s="2"/>
      <c r="E464" s="2"/>
      <c r="F464" s="2"/>
      <c r="I464" s="2"/>
      <c r="M464" s="2"/>
      <c r="S464" s="2"/>
      <c r="V464" s="2"/>
      <c r="AH464" s="90"/>
      <c r="AM464" s="90"/>
    </row>
    <row r="465">
      <c r="D465" s="2"/>
      <c r="E465" s="2"/>
      <c r="F465" s="2"/>
      <c r="I465" s="2"/>
      <c r="M465" s="2"/>
      <c r="S465" s="2"/>
      <c r="V465" s="2"/>
      <c r="AH465" s="90"/>
      <c r="AM465" s="90"/>
    </row>
    <row r="466">
      <c r="D466" s="2"/>
      <c r="E466" s="2"/>
      <c r="F466" s="2"/>
      <c r="I466" s="2"/>
      <c r="M466" s="2"/>
      <c r="S466" s="2"/>
      <c r="V466" s="2"/>
      <c r="AH466" s="90"/>
      <c r="AM466" s="90"/>
    </row>
    <row r="467">
      <c r="D467" s="2"/>
      <c r="E467" s="2"/>
      <c r="F467" s="2"/>
      <c r="I467" s="2"/>
      <c r="M467" s="2"/>
      <c r="S467" s="2"/>
      <c r="V467" s="2"/>
      <c r="AH467" s="90"/>
      <c r="AM467" s="90"/>
    </row>
    <row r="468">
      <c r="D468" s="2"/>
      <c r="E468" s="2"/>
      <c r="F468" s="2"/>
      <c r="I468" s="2"/>
      <c r="M468" s="2"/>
      <c r="S468" s="2"/>
      <c r="V468" s="2"/>
      <c r="AH468" s="90"/>
      <c r="AM468" s="90"/>
    </row>
    <row r="469">
      <c r="D469" s="2"/>
      <c r="E469" s="2"/>
      <c r="F469" s="2"/>
      <c r="I469" s="2"/>
      <c r="M469" s="2"/>
      <c r="S469" s="2"/>
      <c r="V469" s="2"/>
      <c r="AH469" s="90"/>
      <c r="AM469" s="90"/>
    </row>
    <row r="470">
      <c r="D470" s="2"/>
      <c r="E470" s="2"/>
      <c r="F470" s="2"/>
      <c r="I470" s="2"/>
      <c r="M470" s="2"/>
      <c r="S470" s="2"/>
      <c r="V470" s="2"/>
      <c r="AH470" s="90"/>
      <c r="AM470" s="90"/>
    </row>
    <row r="471">
      <c r="D471" s="2"/>
      <c r="E471" s="2"/>
      <c r="F471" s="2"/>
      <c r="I471" s="2"/>
      <c r="M471" s="2"/>
      <c r="S471" s="2"/>
      <c r="V471" s="2"/>
      <c r="AH471" s="90"/>
      <c r="AM471" s="90"/>
    </row>
    <row r="472">
      <c r="D472" s="2"/>
      <c r="E472" s="2"/>
      <c r="F472" s="2"/>
      <c r="I472" s="2"/>
      <c r="M472" s="2"/>
      <c r="S472" s="2"/>
      <c r="V472" s="2"/>
      <c r="AH472" s="90"/>
      <c r="AM472" s="90"/>
    </row>
    <row r="473">
      <c r="D473" s="2"/>
      <c r="E473" s="2"/>
      <c r="F473" s="2"/>
      <c r="I473" s="2"/>
      <c r="M473" s="2"/>
      <c r="S473" s="2"/>
      <c r="V473" s="2"/>
      <c r="AH473" s="90"/>
      <c r="AM473" s="90"/>
    </row>
    <row r="474">
      <c r="D474" s="2"/>
      <c r="E474" s="2"/>
      <c r="F474" s="2"/>
      <c r="I474" s="2"/>
      <c r="M474" s="2"/>
      <c r="S474" s="2"/>
      <c r="V474" s="2"/>
      <c r="AH474" s="90"/>
      <c r="AM474" s="90"/>
    </row>
    <row r="475">
      <c r="D475" s="2"/>
      <c r="E475" s="2"/>
      <c r="F475" s="2"/>
      <c r="I475" s="2"/>
      <c r="M475" s="2"/>
      <c r="S475" s="2"/>
      <c r="V475" s="2"/>
      <c r="AH475" s="90"/>
      <c r="AM475" s="90"/>
    </row>
    <row r="476">
      <c r="D476" s="2"/>
      <c r="E476" s="2"/>
      <c r="F476" s="2"/>
      <c r="I476" s="2"/>
      <c r="M476" s="2"/>
      <c r="S476" s="2"/>
      <c r="V476" s="2"/>
      <c r="AH476" s="90"/>
      <c r="AM476" s="90"/>
    </row>
    <row r="477">
      <c r="D477" s="2"/>
      <c r="E477" s="2"/>
      <c r="F477" s="2"/>
      <c r="I477" s="2"/>
      <c r="M477" s="2"/>
      <c r="S477" s="2"/>
      <c r="V477" s="2"/>
      <c r="AH477" s="90"/>
      <c r="AM477" s="90"/>
    </row>
    <row r="478">
      <c r="D478" s="2"/>
      <c r="E478" s="2"/>
      <c r="F478" s="2"/>
      <c r="I478" s="2"/>
      <c r="M478" s="2"/>
      <c r="S478" s="2"/>
      <c r="V478" s="2"/>
      <c r="AH478" s="90"/>
      <c r="AM478" s="90"/>
    </row>
    <row r="479">
      <c r="D479" s="2"/>
      <c r="E479" s="2"/>
      <c r="F479" s="2"/>
      <c r="I479" s="2"/>
      <c r="M479" s="2"/>
      <c r="S479" s="2"/>
      <c r="V479" s="2"/>
      <c r="AH479" s="90"/>
      <c r="AM479" s="90"/>
    </row>
    <row r="480">
      <c r="D480" s="2"/>
      <c r="E480" s="2"/>
      <c r="F480" s="2"/>
      <c r="I480" s="2"/>
      <c r="M480" s="2"/>
      <c r="S480" s="2"/>
      <c r="V480" s="2"/>
      <c r="AH480" s="90"/>
      <c r="AM480" s="90"/>
    </row>
    <row r="481">
      <c r="D481" s="2"/>
      <c r="E481" s="2"/>
      <c r="F481" s="2"/>
      <c r="I481" s="2"/>
      <c r="M481" s="2"/>
      <c r="S481" s="2"/>
      <c r="V481" s="2"/>
      <c r="AH481" s="90"/>
      <c r="AM481" s="90"/>
    </row>
    <row r="482">
      <c r="D482" s="2"/>
      <c r="E482" s="2"/>
      <c r="F482" s="2"/>
      <c r="I482" s="2"/>
      <c r="M482" s="2"/>
      <c r="S482" s="2"/>
      <c r="V482" s="2"/>
      <c r="AH482" s="90"/>
      <c r="AM482" s="90"/>
    </row>
    <row r="483">
      <c r="D483" s="2"/>
      <c r="E483" s="2"/>
      <c r="F483" s="2"/>
      <c r="I483" s="2"/>
      <c r="M483" s="2"/>
      <c r="S483" s="2"/>
      <c r="V483" s="2"/>
      <c r="AH483" s="90"/>
      <c r="AM483" s="90"/>
    </row>
    <row r="484">
      <c r="D484" s="2"/>
      <c r="E484" s="2"/>
      <c r="F484" s="2"/>
      <c r="I484" s="2"/>
      <c r="M484" s="2"/>
      <c r="S484" s="2"/>
      <c r="V484" s="2"/>
      <c r="AH484" s="90"/>
      <c r="AM484" s="90"/>
    </row>
    <row r="485">
      <c r="D485" s="2"/>
      <c r="E485" s="2"/>
      <c r="F485" s="2"/>
      <c r="I485" s="2"/>
      <c r="M485" s="2"/>
      <c r="S485" s="2"/>
      <c r="V485" s="2"/>
      <c r="AH485" s="90"/>
      <c r="AM485" s="90"/>
    </row>
    <row r="486">
      <c r="D486" s="2"/>
      <c r="E486" s="2"/>
      <c r="F486" s="2"/>
      <c r="I486" s="2"/>
      <c r="M486" s="2"/>
      <c r="S486" s="2"/>
      <c r="V486" s="2"/>
      <c r="AH486" s="90"/>
      <c r="AM486" s="90"/>
    </row>
    <row r="487">
      <c r="D487" s="2"/>
      <c r="E487" s="2"/>
      <c r="F487" s="2"/>
      <c r="I487" s="2"/>
      <c r="M487" s="2"/>
      <c r="S487" s="2"/>
      <c r="V487" s="2"/>
      <c r="AH487" s="90"/>
      <c r="AM487" s="90"/>
    </row>
    <row r="488">
      <c r="D488" s="2"/>
      <c r="E488" s="2"/>
      <c r="F488" s="2"/>
      <c r="I488" s="2"/>
      <c r="M488" s="2"/>
      <c r="S488" s="2"/>
      <c r="V488" s="2"/>
      <c r="AH488" s="90"/>
      <c r="AM488" s="90"/>
    </row>
    <row r="489">
      <c r="D489" s="2"/>
      <c r="E489" s="2"/>
      <c r="F489" s="2"/>
      <c r="I489" s="2"/>
      <c r="M489" s="2"/>
      <c r="S489" s="2"/>
      <c r="V489" s="2"/>
      <c r="AH489" s="90"/>
      <c r="AM489" s="90"/>
    </row>
    <row r="490">
      <c r="D490" s="2"/>
      <c r="E490" s="2"/>
      <c r="F490" s="2"/>
      <c r="I490" s="2"/>
      <c r="M490" s="2"/>
      <c r="S490" s="2"/>
      <c r="V490" s="2"/>
      <c r="AH490" s="90"/>
      <c r="AM490" s="90"/>
    </row>
    <row r="491">
      <c r="D491" s="2"/>
      <c r="E491" s="2"/>
      <c r="F491" s="2"/>
      <c r="I491" s="2"/>
      <c r="M491" s="2"/>
      <c r="S491" s="2"/>
      <c r="V491" s="2"/>
      <c r="AH491" s="90"/>
      <c r="AM491" s="90"/>
    </row>
    <row r="492">
      <c r="D492" s="2"/>
      <c r="E492" s="2"/>
      <c r="F492" s="2"/>
      <c r="I492" s="2"/>
      <c r="M492" s="2"/>
      <c r="S492" s="2"/>
      <c r="V492" s="2"/>
      <c r="AH492" s="90"/>
      <c r="AM492" s="90"/>
    </row>
    <row r="493">
      <c r="D493" s="2"/>
      <c r="E493" s="2"/>
      <c r="F493" s="2"/>
      <c r="I493" s="2"/>
      <c r="M493" s="2"/>
      <c r="S493" s="2"/>
      <c r="V493" s="2"/>
      <c r="AH493" s="90"/>
      <c r="AM493" s="90"/>
    </row>
    <row r="494">
      <c r="D494" s="2"/>
      <c r="E494" s="2"/>
      <c r="F494" s="2"/>
      <c r="I494" s="2"/>
      <c r="M494" s="2"/>
      <c r="S494" s="2"/>
      <c r="V494" s="2"/>
      <c r="AH494" s="90"/>
      <c r="AM494" s="90"/>
    </row>
    <row r="495">
      <c r="D495" s="2"/>
      <c r="E495" s="2"/>
      <c r="F495" s="2"/>
      <c r="I495" s="2"/>
      <c r="M495" s="2"/>
      <c r="S495" s="2"/>
      <c r="V495" s="2"/>
      <c r="AH495" s="90"/>
      <c r="AM495" s="90"/>
    </row>
    <row r="496">
      <c r="D496" s="2"/>
      <c r="E496" s="2"/>
      <c r="F496" s="2"/>
      <c r="I496" s="2"/>
      <c r="M496" s="2"/>
      <c r="S496" s="2"/>
      <c r="V496" s="2"/>
      <c r="AH496" s="90"/>
      <c r="AM496" s="90"/>
    </row>
    <row r="497">
      <c r="D497" s="2"/>
      <c r="E497" s="2"/>
      <c r="F497" s="2"/>
      <c r="I497" s="2"/>
      <c r="M497" s="2"/>
      <c r="S497" s="2"/>
      <c r="V497" s="2"/>
      <c r="AH497" s="90"/>
      <c r="AM497" s="90"/>
    </row>
    <row r="498">
      <c r="D498" s="2"/>
      <c r="E498" s="2"/>
      <c r="F498" s="2"/>
      <c r="I498" s="2"/>
      <c r="M498" s="2"/>
      <c r="S498" s="2"/>
      <c r="V498" s="2"/>
      <c r="AH498" s="90"/>
      <c r="AM498" s="90"/>
    </row>
    <row r="499">
      <c r="D499" s="2"/>
      <c r="E499" s="2"/>
      <c r="F499" s="2"/>
      <c r="I499" s="2"/>
      <c r="M499" s="2"/>
      <c r="S499" s="2"/>
      <c r="V499" s="2"/>
      <c r="AH499" s="90"/>
      <c r="AM499" s="90"/>
    </row>
    <row r="500">
      <c r="D500" s="2"/>
      <c r="E500" s="2"/>
      <c r="F500" s="2"/>
      <c r="I500" s="2"/>
      <c r="M500" s="2"/>
      <c r="S500" s="2"/>
      <c r="V500" s="2"/>
      <c r="AH500" s="90"/>
      <c r="AM500" s="90"/>
    </row>
    <row r="501">
      <c r="D501" s="2"/>
      <c r="E501" s="2"/>
      <c r="F501" s="2"/>
      <c r="I501" s="2"/>
      <c r="M501" s="2"/>
      <c r="S501" s="2"/>
      <c r="V501" s="2"/>
      <c r="AH501" s="90"/>
      <c r="AM501" s="90"/>
    </row>
    <row r="502">
      <c r="D502" s="2"/>
      <c r="E502" s="2"/>
      <c r="F502" s="2"/>
      <c r="I502" s="2"/>
      <c r="M502" s="2"/>
      <c r="S502" s="2"/>
      <c r="V502" s="2"/>
      <c r="AH502" s="90"/>
      <c r="AM502" s="90"/>
    </row>
    <row r="503">
      <c r="D503" s="2"/>
      <c r="E503" s="2"/>
      <c r="F503" s="2"/>
      <c r="I503" s="2"/>
      <c r="M503" s="2"/>
      <c r="S503" s="2"/>
      <c r="V503" s="2"/>
      <c r="AH503" s="90"/>
      <c r="AM503" s="90"/>
    </row>
    <row r="504">
      <c r="D504" s="2"/>
      <c r="E504" s="2"/>
      <c r="F504" s="2"/>
      <c r="I504" s="2"/>
      <c r="M504" s="2"/>
      <c r="S504" s="2"/>
      <c r="V504" s="2"/>
      <c r="AH504" s="90"/>
      <c r="AM504" s="90"/>
    </row>
    <row r="505">
      <c r="D505" s="2"/>
      <c r="E505" s="2"/>
      <c r="F505" s="2"/>
      <c r="I505" s="2"/>
      <c r="M505" s="2"/>
      <c r="S505" s="2"/>
      <c r="V505" s="2"/>
      <c r="AH505" s="90"/>
      <c r="AM505" s="90"/>
    </row>
    <row r="506">
      <c r="D506" s="2"/>
      <c r="E506" s="2"/>
      <c r="F506" s="2"/>
      <c r="I506" s="2"/>
      <c r="M506" s="2"/>
      <c r="S506" s="2"/>
      <c r="V506" s="2"/>
      <c r="AH506" s="90"/>
      <c r="AM506" s="90"/>
    </row>
    <row r="507">
      <c r="D507" s="2"/>
      <c r="E507" s="2"/>
      <c r="F507" s="2"/>
      <c r="I507" s="2"/>
      <c r="M507" s="2"/>
      <c r="S507" s="2"/>
      <c r="V507" s="2"/>
      <c r="AH507" s="90"/>
      <c r="AM507" s="90"/>
    </row>
    <row r="508">
      <c r="D508" s="2"/>
      <c r="E508" s="2"/>
      <c r="F508" s="2"/>
      <c r="I508" s="2"/>
      <c r="M508" s="2"/>
      <c r="S508" s="2"/>
      <c r="V508" s="2"/>
      <c r="AH508" s="90"/>
      <c r="AM508" s="90"/>
    </row>
    <row r="509">
      <c r="D509" s="2"/>
      <c r="E509" s="2"/>
      <c r="F509" s="2"/>
      <c r="I509" s="2"/>
      <c r="M509" s="2"/>
      <c r="S509" s="2"/>
      <c r="V509" s="2"/>
      <c r="AH509" s="90"/>
      <c r="AM509" s="90"/>
    </row>
    <row r="510">
      <c r="D510" s="2"/>
      <c r="E510" s="2"/>
      <c r="F510" s="2"/>
      <c r="I510" s="2"/>
      <c r="M510" s="2"/>
      <c r="S510" s="2"/>
      <c r="V510" s="2"/>
      <c r="AH510" s="90"/>
      <c r="AM510" s="90"/>
    </row>
    <row r="511">
      <c r="D511" s="2"/>
      <c r="E511" s="2"/>
      <c r="F511" s="2"/>
      <c r="I511" s="2"/>
      <c r="M511" s="2"/>
      <c r="S511" s="2"/>
      <c r="V511" s="2"/>
      <c r="AH511" s="90"/>
      <c r="AM511" s="90"/>
    </row>
    <row r="512">
      <c r="D512" s="2"/>
      <c r="E512" s="2"/>
      <c r="F512" s="2"/>
      <c r="I512" s="2"/>
      <c r="M512" s="2"/>
      <c r="S512" s="2"/>
      <c r="V512" s="2"/>
      <c r="AH512" s="90"/>
      <c r="AM512" s="90"/>
    </row>
    <row r="513">
      <c r="D513" s="2"/>
      <c r="E513" s="2"/>
      <c r="F513" s="2"/>
      <c r="I513" s="2"/>
      <c r="M513" s="2"/>
      <c r="S513" s="2"/>
      <c r="V513" s="2"/>
      <c r="AH513" s="90"/>
      <c r="AM513" s="90"/>
    </row>
    <row r="514">
      <c r="D514" s="2"/>
      <c r="E514" s="2"/>
      <c r="F514" s="2"/>
      <c r="I514" s="2"/>
      <c r="M514" s="2"/>
      <c r="S514" s="2"/>
      <c r="V514" s="2"/>
      <c r="AH514" s="90"/>
      <c r="AM514" s="90"/>
    </row>
    <row r="515">
      <c r="D515" s="2"/>
      <c r="E515" s="2"/>
      <c r="F515" s="2"/>
      <c r="I515" s="2"/>
      <c r="M515" s="2"/>
      <c r="S515" s="2"/>
      <c r="V515" s="2"/>
      <c r="AH515" s="90"/>
      <c r="AM515" s="90"/>
    </row>
    <row r="516">
      <c r="D516" s="2"/>
      <c r="E516" s="2"/>
      <c r="F516" s="2"/>
      <c r="I516" s="2"/>
      <c r="M516" s="2"/>
      <c r="S516" s="2"/>
      <c r="V516" s="2"/>
      <c r="AH516" s="90"/>
      <c r="AM516" s="90"/>
    </row>
    <row r="517">
      <c r="D517" s="2"/>
      <c r="E517" s="2"/>
      <c r="F517" s="2"/>
      <c r="I517" s="2"/>
      <c r="M517" s="2"/>
      <c r="S517" s="2"/>
      <c r="V517" s="2"/>
      <c r="AH517" s="90"/>
      <c r="AM517" s="90"/>
    </row>
    <row r="518">
      <c r="D518" s="2"/>
      <c r="E518" s="2"/>
      <c r="F518" s="2"/>
      <c r="I518" s="2"/>
      <c r="M518" s="2"/>
      <c r="S518" s="2"/>
      <c r="V518" s="2"/>
      <c r="AH518" s="90"/>
      <c r="AM518" s="90"/>
    </row>
    <row r="519">
      <c r="D519" s="2"/>
      <c r="E519" s="2"/>
      <c r="F519" s="2"/>
      <c r="I519" s="2"/>
      <c r="M519" s="2"/>
      <c r="S519" s="2"/>
      <c r="V519" s="2"/>
      <c r="AH519" s="90"/>
      <c r="AM519" s="90"/>
    </row>
    <row r="520">
      <c r="D520" s="2"/>
      <c r="E520" s="2"/>
      <c r="F520" s="2"/>
      <c r="I520" s="2"/>
      <c r="M520" s="2"/>
      <c r="S520" s="2"/>
      <c r="V520" s="2"/>
      <c r="AH520" s="90"/>
      <c r="AM520" s="90"/>
    </row>
    <row r="521">
      <c r="D521" s="2"/>
      <c r="E521" s="2"/>
      <c r="F521" s="2"/>
      <c r="I521" s="2"/>
      <c r="M521" s="2"/>
      <c r="S521" s="2"/>
      <c r="V521" s="2"/>
      <c r="AH521" s="90"/>
      <c r="AM521" s="90"/>
    </row>
    <row r="522">
      <c r="D522" s="2"/>
      <c r="E522" s="2"/>
      <c r="F522" s="2"/>
      <c r="I522" s="2"/>
      <c r="M522" s="2"/>
      <c r="S522" s="2"/>
      <c r="V522" s="2"/>
      <c r="AH522" s="90"/>
      <c r="AM522" s="90"/>
    </row>
    <row r="523">
      <c r="D523" s="2"/>
      <c r="E523" s="2"/>
      <c r="F523" s="2"/>
      <c r="I523" s="2"/>
      <c r="M523" s="2"/>
      <c r="S523" s="2"/>
      <c r="V523" s="2"/>
      <c r="AH523" s="90"/>
      <c r="AM523" s="90"/>
    </row>
    <row r="524">
      <c r="D524" s="2"/>
      <c r="E524" s="2"/>
      <c r="F524" s="2"/>
      <c r="I524" s="2"/>
      <c r="M524" s="2"/>
      <c r="S524" s="2"/>
      <c r="V524" s="2"/>
      <c r="AH524" s="90"/>
      <c r="AM524" s="90"/>
    </row>
    <row r="525">
      <c r="D525" s="2"/>
      <c r="E525" s="2"/>
      <c r="F525" s="2"/>
      <c r="I525" s="2"/>
      <c r="M525" s="2"/>
      <c r="S525" s="2"/>
      <c r="V525" s="2"/>
      <c r="AH525" s="90"/>
      <c r="AM525" s="90"/>
    </row>
    <row r="526">
      <c r="D526" s="2"/>
      <c r="E526" s="2"/>
      <c r="F526" s="2"/>
      <c r="I526" s="2"/>
      <c r="M526" s="2"/>
      <c r="S526" s="2"/>
      <c r="V526" s="2"/>
      <c r="AH526" s="90"/>
      <c r="AM526" s="90"/>
    </row>
    <row r="527">
      <c r="D527" s="2"/>
      <c r="E527" s="2"/>
      <c r="F527" s="2"/>
      <c r="I527" s="2"/>
      <c r="M527" s="2"/>
      <c r="S527" s="2"/>
      <c r="V527" s="2"/>
      <c r="AH527" s="90"/>
      <c r="AM527" s="90"/>
    </row>
    <row r="528">
      <c r="D528" s="2"/>
      <c r="E528" s="2"/>
      <c r="F528" s="2"/>
      <c r="I528" s="2"/>
      <c r="M528" s="2"/>
      <c r="S528" s="2"/>
      <c r="V528" s="2"/>
      <c r="AH528" s="90"/>
      <c r="AM528" s="90"/>
    </row>
    <row r="529">
      <c r="D529" s="2"/>
      <c r="E529" s="2"/>
      <c r="F529" s="2"/>
      <c r="I529" s="2"/>
      <c r="M529" s="2"/>
      <c r="S529" s="2"/>
      <c r="V529" s="2"/>
      <c r="AH529" s="90"/>
      <c r="AM529" s="90"/>
    </row>
    <row r="530">
      <c r="D530" s="2"/>
      <c r="E530" s="2"/>
      <c r="F530" s="2"/>
      <c r="I530" s="2"/>
      <c r="M530" s="2"/>
      <c r="S530" s="2"/>
      <c r="V530" s="2"/>
      <c r="AH530" s="90"/>
      <c r="AM530" s="90"/>
    </row>
    <row r="531">
      <c r="D531" s="2"/>
      <c r="E531" s="2"/>
      <c r="F531" s="2"/>
      <c r="I531" s="2"/>
      <c r="M531" s="2"/>
      <c r="S531" s="2"/>
      <c r="V531" s="2"/>
      <c r="AH531" s="90"/>
      <c r="AM531" s="90"/>
    </row>
    <row r="532">
      <c r="D532" s="2"/>
      <c r="E532" s="2"/>
      <c r="F532" s="2"/>
      <c r="I532" s="2"/>
      <c r="M532" s="2"/>
      <c r="S532" s="2"/>
      <c r="V532" s="2"/>
      <c r="AH532" s="90"/>
      <c r="AM532" s="90"/>
    </row>
    <row r="533">
      <c r="D533" s="2"/>
      <c r="E533" s="2"/>
      <c r="F533" s="2"/>
      <c r="I533" s="2"/>
      <c r="M533" s="2"/>
      <c r="S533" s="2"/>
      <c r="V533" s="2"/>
      <c r="AH533" s="90"/>
      <c r="AM533" s="90"/>
    </row>
    <row r="534">
      <c r="D534" s="2"/>
      <c r="E534" s="2"/>
      <c r="F534" s="2"/>
      <c r="I534" s="2"/>
      <c r="M534" s="2"/>
      <c r="S534" s="2"/>
      <c r="V534" s="2"/>
      <c r="AH534" s="90"/>
      <c r="AM534" s="90"/>
    </row>
    <row r="535">
      <c r="D535" s="2"/>
      <c r="E535" s="2"/>
      <c r="F535" s="2"/>
      <c r="I535" s="2"/>
      <c r="M535" s="2"/>
      <c r="S535" s="2"/>
      <c r="V535" s="2"/>
      <c r="AH535" s="90"/>
      <c r="AM535" s="90"/>
    </row>
    <row r="536">
      <c r="D536" s="2"/>
      <c r="E536" s="2"/>
      <c r="F536" s="2"/>
      <c r="I536" s="2"/>
      <c r="M536" s="2"/>
      <c r="S536" s="2"/>
      <c r="V536" s="2"/>
      <c r="AH536" s="90"/>
      <c r="AM536" s="90"/>
    </row>
    <row r="537">
      <c r="D537" s="2"/>
      <c r="E537" s="2"/>
      <c r="F537" s="2"/>
      <c r="I537" s="2"/>
      <c r="M537" s="2"/>
      <c r="S537" s="2"/>
      <c r="V537" s="2"/>
      <c r="AH537" s="90"/>
      <c r="AM537" s="90"/>
    </row>
    <row r="538">
      <c r="D538" s="2"/>
      <c r="E538" s="2"/>
      <c r="F538" s="2"/>
      <c r="I538" s="2"/>
      <c r="M538" s="2"/>
      <c r="S538" s="2"/>
      <c r="V538" s="2"/>
      <c r="AH538" s="90"/>
      <c r="AM538" s="90"/>
    </row>
    <row r="539">
      <c r="D539" s="2"/>
      <c r="E539" s="2"/>
      <c r="F539" s="2"/>
      <c r="I539" s="2"/>
      <c r="M539" s="2"/>
      <c r="S539" s="2"/>
      <c r="V539" s="2"/>
      <c r="AH539" s="90"/>
      <c r="AM539" s="90"/>
    </row>
    <row r="540">
      <c r="D540" s="2"/>
      <c r="E540" s="2"/>
      <c r="F540" s="2"/>
      <c r="I540" s="2"/>
      <c r="M540" s="2"/>
      <c r="S540" s="2"/>
      <c r="V540" s="2"/>
      <c r="AH540" s="90"/>
      <c r="AM540" s="90"/>
    </row>
    <row r="541">
      <c r="D541" s="2"/>
      <c r="E541" s="2"/>
      <c r="F541" s="2"/>
      <c r="I541" s="2"/>
      <c r="M541" s="2"/>
      <c r="S541" s="2"/>
      <c r="V541" s="2"/>
      <c r="AH541" s="90"/>
      <c r="AM541" s="90"/>
    </row>
    <row r="542">
      <c r="D542" s="2"/>
      <c r="E542" s="2"/>
      <c r="F542" s="2"/>
      <c r="I542" s="2"/>
      <c r="M542" s="2"/>
      <c r="S542" s="2"/>
      <c r="V542" s="2"/>
      <c r="AH542" s="90"/>
      <c r="AM542" s="90"/>
    </row>
    <row r="543">
      <c r="D543" s="2"/>
      <c r="E543" s="2"/>
      <c r="F543" s="2"/>
      <c r="I543" s="2"/>
      <c r="M543" s="2"/>
      <c r="S543" s="2"/>
      <c r="V543" s="2"/>
      <c r="AH543" s="90"/>
      <c r="AM543" s="90"/>
    </row>
    <row r="544">
      <c r="D544" s="2"/>
      <c r="E544" s="2"/>
      <c r="F544" s="2"/>
      <c r="I544" s="2"/>
      <c r="M544" s="2"/>
      <c r="S544" s="2"/>
      <c r="V544" s="2"/>
      <c r="AH544" s="90"/>
      <c r="AM544" s="90"/>
    </row>
    <row r="545">
      <c r="D545" s="2"/>
      <c r="E545" s="2"/>
      <c r="F545" s="2"/>
      <c r="I545" s="2"/>
      <c r="M545" s="2"/>
      <c r="S545" s="2"/>
      <c r="V545" s="2"/>
      <c r="AH545" s="90"/>
      <c r="AM545" s="90"/>
    </row>
    <row r="546">
      <c r="D546" s="2"/>
      <c r="E546" s="2"/>
      <c r="F546" s="2"/>
      <c r="I546" s="2"/>
      <c r="M546" s="2"/>
      <c r="S546" s="2"/>
      <c r="V546" s="2"/>
      <c r="AH546" s="90"/>
      <c r="AM546" s="90"/>
    </row>
    <row r="547">
      <c r="D547" s="2"/>
      <c r="E547" s="2"/>
      <c r="F547" s="2"/>
      <c r="I547" s="2"/>
      <c r="M547" s="2"/>
      <c r="S547" s="2"/>
      <c r="V547" s="2"/>
      <c r="AH547" s="90"/>
      <c r="AM547" s="90"/>
    </row>
    <row r="548">
      <c r="D548" s="2"/>
      <c r="E548" s="2"/>
      <c r="F548" s="2"/>
      <c r="I548" s="2"/>
      <c r="M548" s="2"/>
      <c r="S548" s="2"/>
      <c r="V548" s="2"/>
      <c r="AH548" s="90"/>
      <c r="AM548" s="90"/>
    </row>
    <row r="549">
      <c r="D549" s="2"/>
      <c r="E549" s="2"/>
      <c r="F549" s="2"/>
      <c r="I549" s="2"/>
      <c r="M549" s="2"/>
      <c r="S549" s="2"/>
      <c r="V549" s="2"/>
      <c r="AH549" s="90"/>
      <c r="AM549" s="90"/>
    </row>
    <row r="550">
      <c r="D550" s="2"/>
      <c r="E550" s="2"/>
      <c r="F550" s="2"/>
      <c r="I550" s="2"/>
      <c r="M550" s="2"/>
      <c r="S550" s="2"/>
      <c r="V550" s="2"/>
      <c r="AH550" s="90"/>
      <c r="AM550" s="90"/>
    </row>
    <row r="551">
      <c r="D551" s="2"/>
      <c r="E551" s="2"/>
      <c r="F551" s="2"/>
      <c r="I551" s="2"/>
      <c r="M551" s="2"/>
      <c r="S551" s="2"/>
      <c r="V551" s="2"/>
      <c r="AH551" s="90"/>
      <c r="AM551" s="90"/>
    </row>
    <row r="552">
      <c r="D552" s="2"/>
      <c r="E552" s="2"/>
      <c r="F552" s="2"/>
      <c r="I552" s="2"/>
      <c r="M552" s="2"/>
      <c r="S552" s="2"/>
      <c r="V552" s="2"/>
      <c r="AH552" s="90"/>
      <c r="AM552" s="90"/>
    </row>
    <row r="553">
      <c r="D553" s="2"/>
      <c r="E553" s="2"/>
      <c r="F553" s="2"/>
      <c r="I553" s="2"/>
      <c r="M553" s="2"/>
      <c r="S553" s="2"/>
      <c r="V553" s="2"/>
      <c r="AH553" s="90"/>
      <c r="AM553" s="90"/>
    </row>
    <row r="554">
      <c r="D554" s="2"/>
      <c r="E554" s="2"/>
      <c r="F554" s="2"/>
      <c r="I554" s="2"/>
      <c r="M554" s="2"/>
      <c r="S554" s="2"/>
      <c r="V554" s="2"/>
      <c r="AH554" s="90"/>
      <c r="AM554" s="90"/>
    </row>
    <row r="555">
      <c r="D555" s="2"/>
      <c r="E555" s="2"/>
      <c r="F555" s="2"/>
      <c r="I555" s="2"/>
      <c r="M555" s="2"/>
      <c r="S555" s="2"/>
      <c r="V555" s="2"/>
      <c r="AH555" s="90"/>
      <c r="AM555" s="90"/>
    </row>
    <row r="556">
      <c r="D556" s="2"/>
      <c r="E556" s="2"/>
      <c r="F556" s="2"/>
      <c r="I556" s="2"/>
      <c r="M556" s="2"/>
      <c r="S556" s="2"/>
      <c r="V556" s="2"/>
      <c r="AH556" s="90"/>
      <c r="AM556" s="90"/>
    </row>
    <row r="557">
      <c r="D557" s="2"/>
      <c r="E557" s="2"/>
      <c r="F557" s="2"/>
      <c r="I557" s="2"/>
      <c r="M557" s="2"/>
      <c r="S557" s="2"/>
      <c r="V557" s="2"/>
      <c r="AH557" s="90"/>
      <c r="AM557" s="90"/>
    </row>
    <row r="558">
      <c r="D558" s="2"/>
      <c r="E558" s="2"/>
      <c r="F558" s="2"/>
      <c r="I558" s="2"/>
      <c r="M558" s="2"/>
      <c r="S558" s="2"/>
      <c r="V558" s="2"/>
      <c r="AH558" s="90"/>
      <c r="AM558" s="90"/>
    </row>
    <row r="559">
      <c r="D559" s="2"/>
      <c r="E559" s="2"/>
      <c r="F559" s="2"/>
      <c r="I559" s="2"/>
      <c r="M559" s="2"/>
      <c r="S559" s="2"/>
      <c r="V559" s="2"/>
      <c r="AH559" s="90"/>
      <c r="AM559" s="90"/>
    </row>
    <row r="560">
      <c r="D560" s="2"/>
      <c r="E560" s="2"/>
      <c r="F560" s="2"/>
      <c r="I560" s="2"/>
      <c r="M560" s="2"/>
      <c r="S560" s="2"/>
      <c r="V560" s="2"/>
      <c r="AH560" s="90"/>
      <c r="AM560" s="90"/>
    </row>
    <row r="561">
      <c r="D561" s="2"/>
      <c r="E561" s="2"/>
      <c r="F561" s="2"/>
      <c r="I561" s="2"/>
      <c r="M561" s="2"/>
      <c r="S561" s="2"/>
      <c r="V561" s="2"/>
      <c r="AH561" s="90"/>
      <c r="AM561" s="90"/>
    </row>
    <row r="562">
      <c r="D562" s="2"/>
      <c r="E562" s="2"/>
      <c r="F562" s="2"/>
      <c r="I562" s="2"/>
      <c r="M562" s="2"/>
      <c r="S562" s="2"/>
      <c r="V562" s="2"/>
      <c r="AH562" s="90"/>
      <c r="AM562" s="90"/>
    </row>
    <row r="563">
      <c r="D563" s="2"/>
      <c r="E563" s="2"/>
      <c r="F563" s="2"/>
      <c r="I563" s="2"/>
      <c r="M563" s="2"/>
      <c r="S563" s="2"/>
      <c r="V563" s="2"/>
      <c r="AH563" s="90"/>
      <c r="AM563" s="90"/>
    </row>
    <row r="564">
      <c r="D564" s="2"/>
      <c r="E564" s="2"/>
      <c r="F564" s="2"/>
      <c r="I564" s="2"/>
      <c r="M564" s="2"/>
      <c r="S564" s="2"/>
      <c r="V564" s="2"/>
      <c r="AH564" s="90"/>
      <c r="AM564" s="90"/>
    </row>
    <row r="565">
      <c r="D565" s="2"/>
      <c r="E565" s="2"/>
      <c r="F565" s="2"/>
      <c r="I565" s="2"/>
      <c r="M565" s="2"/>
      <c r="S565" s="2"/>
      <c r="V565" s="2"/>
      <c r="AH565" s="90"/>
      <c r="AM565" s="90"/>
    </row>
    <row r="566">
      <c r="D566" s="2"/>
      <c r="E566" s="2"/>
      <c r="F566" s="2"/>
      <c r="I566" s="2"/>
      <c r="M566" s="2"/>
      <c r="S566" s="2"/>
      <c r="V566" s="2"/>
      <c r="AH566" s="90"/>
      <c r="AM566" s="90"/>
    </row>
    <row r="567">
      <c r="D567" s="2"/>
      <c r="E567" s="2"/>
      <c r="F567" s="2"/>
      <c r="I567" s="2"/>
      <c r="M567" s="2"/>
      <c r="S567" s="2"/>
      <c r="V567" s="2"/>
      <c r="AH567" s="90"/>
      <c r="AM567" s="90"/>
    </row>
    <row r="568">
      <c r="D568" s="2"/>
      <c r="E568" s="2"/>
      <c r="F568" s="2"/>
      <c r="I568" s="2"/>
      <c r="M568" s="2"/>
      <c r="S568" s="2"/>
      <c r="V568" s="2"/>
      <c r="AH568" s="90"/>
      <c r="AM568" s="90"/>
    </row>
    <row r="569">
      <c r="D569" s="2"/>
      <c r="E569" s="2"/>
      <c r="F569" s="2"/>
      <c r="I569" s="2"/>
      <c r="M569" s="2"/>
      <c r="S569" s="2"/>
      <c r="V569" s="2"/>
      <c r="AH569" s="90"/>
      <c r="AM569" s="90"/>
    </row>
    <row r="570">
      <c r="D570" s="2"/>
      <c r="E570" s="2"/>
      <c r="F570" s="2"/>
      <c r="I570" s="2"/>
      <c r="M570" s="2"/>
      <c r="S570" s="2"/>
      <c r="V570" s="2"/>
      <c r="AH570" s="90"/>
      <c r="AM570" s="90"/>
    </row>
    <row r="571">
      <c r="D571" s="2"/>
      <c r="E571" s="2"/>
      <c r="F571" s="2"/>
      <c r="I571" s="2"/>
      <c r="M571" s="2"/>
      <c r="S571" s="2"/>
      <c r="V571" s="2"/>
      <c r="AH571" s="90"/>
      <c r="AM571" s="90"/>
    </row>
    <row r="572">
      <c r="D572" s="2"/>
      <c r="E572" s="2"/>
      <c r="F572" s="2"/>
      <c r="I572" s="2"/>
      <c r="M572" s="2"/>
      <c r="S572" s="2"/>
      <c r="V572" s="2"/>
      <c r="AH572" s="90"/>
      <c r="AM572" s="90"/>
    </row>
    <row r="573">
      <c r="D573" s="2"/>
      <c r="E573" s="2"/>
      <c r="F573" s="2"/>
      <c r="I573" s="2"/>
      <c r="M573" s="2"/>
      <c r="S573" s="2"/>
      <c r="V573" s="2"/>
      <c r="AH573" s="90"/>
      <c r="AM573" s="90"/>
    </row>
    <row r="574">
      <c r="D574" s="2"/>
      <c r="E574" s="2"/>
      <c r="F574" s="2"/>
      <c r="I574" s="2"/>
      <c r="M574" s="2"/>
      <c r="S574" s="2"/>
      <c r="V574" s="2"/>
      <c r="AH574" s="90"/>
      <c r="AM574" s="90"/>
    </row>
    <row r="575">
      <c r="D575" s="2"/>
      <c r="E575" s="2"/>
      <c r="F575" s="2"/>
      <c r="I575" s="2"/>
      <c r="M575" s="2"/>
      <c r="S575" s="2"/>
      <c r="V575" s="2"/>
      <c r="AH575" s="90"/>
      <c r="AM575" s="90"/>
    </row>
    <row r="576">
      <c r="D576" s="2"/>
      <c r="E576" s="2"/>
      <c r="F576" s="2"/>
      <c r="I576" s="2"/>
      <c r="M576" s="2"/>
      <c r="S576" s="2"/>
      <c r="V576" s="2"/>
      <c r="AH576" s="90"/>
      <c r="AM576" s="90"/>
    </row>
    <row r="577">
      <c r="D577" s="2"/>
      <c r="E577" s="2"/>
      <c r="F577" s="2"/>
      <c r="I577" s="2"/>
      <c r="M577" s="2"/>
      <c r="S577" s="2"/>
      <c r="V577" s="2"/>
      <c r="AH577" s="90"/>
      <c r="AM577" s="90"/>
    </row>
    <row r="578">
      <c r="D578" s="2"/>
      <c r="E578" s="2"/>
      <c r="F578" s="2"/>
      <c r="I578" s="2"/>
      <c r="M578" s="2"/>
      <c r="S578" s="2"/>
      <c r="V578" s="2"/>
      <c r="AH578" s="90"/>
      <c r="AM578" s="90"/>
    </row>
    <row r="579">
      <c r="D579" s="2"/>
      <c r="E579" s="2"/>
      <c r="F579" s="2"/>
      <c r="I579" s="2"/>
      <c r="M579" s="2"/>
      <c r="S579" s="2"/>
      <c r="V579" s="2"/>
      <c r="AH579" s="90"/>
      <c r="AM579" s="90"/>
    </row>
    <row r="580">
      <c r="D580" s="2"/>
      <c r="E580" s="2"/>
      <c r="F580" s="2"/>
      <c r="I580" s="2"/>
      <c r="M580" s="2"/>
      <c r="S580" s="2"/>
      <c r="V580" s="2"/>
      <c r="AH580" s="90"/>
      <c r="AM580" s="90"/>
    </row>
    <row r="581">
      <c r="D581" s="2"/>
      <c r="E581" s="2"/>
      <c r="F581" s="2"/>
      <c r="I581" s="2"/>
      <c r="M581" s="2"/>
      <c r="S581" s="2"/>
      <c r="V581" s="2"/>
      <c r="AH581" s="90"/>
      <c r="AM581" s="90"/>
    </row>
    <row r="582">
      <c r="D582" s="2"/>
      <c r="E582" s="2"/>
      <c r="F582" s="2"/>
      <c r="I582" s="2"/>
      <c r="M582" s="2"/>
      <c r="S582" s="2"/>
      <c r="V582" s="2"/>
      <c r="AH582" s="90"/>
      <c r="AM582" s="90"/>
    </row>
    <row r="583">
      <c r="D583" s="2"/>
      <c r="E583" s="2"/>
      <c r="F583" s="2"/>
      <c r="I583" s="2"/>
      <c r="M583" s="2"/>
      <c r="S583" s="2"/>
      <c r="V583" s="2"/>
      <c r="AH583" s="90"/>
      <c r="AM583" s="90"/>
    </row>
    <row r="584">
      <c r="D584" s="2"/>
      <c r="E584" s="2"/>
      <c r="F584" s="2"/>
      <c r="I584" s="2"/>
      <c r="M584" s="2"/>
      <c r="S584" s="2"/>
      <c r="V584" s="2"/>
      <c r="AH584" s="90"/>
      <c r="AM584" s="90"/>
    </row>
    <row r="585">
      <c r="D585" s="2"/>
      <c r="E585" s="2"/>
      <c r="F585" s="2"/>
      <c r="I585" s="2"/>
      <c r="M585" s="2"/>
      <c r="S585" s="2"/>
      <c r="V585" s="2"/>
      <c r="AH585" s="90"/>
      <c r="AM585" s="90"/>
    </row>
    <row r="586">
      <c r="D586" s="2"/>
      <c r="E586" s="2"/>
      <c r="F586" s="2"/>
      <c r="I586" s="2"/>
      <c r="M586" s="2"/>
      <c r="S586" s="2"/>
      <c r="V586" s="2"/>
      <c r="AH586" s="90"/>
      <c r="AM586" s="90"/>
    </row>
    <row r="587">
      <c r="D587" s="2"/>
      <c r="E587" s="2"/>
      <c r="F587" s="2"/>
      <c r="I587" s="2"/>
      <c r="M587" s="2"/>
      <c r="S587" s="2"/>
      <c r="V587" s="2"/>
      <c r="AH587" s="90"/>
      <c r="AM587" s="90"/>
    </row>
    <row r="588">
      <c r="D588" s="2"/>
      <c r="E588" s="2"/>
      <c r="F588" s="2"/>
      <c r="I588" s="2"/>
      <c r="M588" s="2"/>
      <c r="S588" s="2"/>
      <c r="V588" s="2"/>
      <c r="AH588" s="90"/>
      <c r="AM588" s="90"/>
    </row>
    <row r="589">
      <c r="D589" s="2"/>
      <c r="E589" s="2"/>
      <c r="F589" s="2"/>
      <c r="I589" s="2"/>
      <c r="M589" s="2"/>
      <c r="S589" s="2"/>
      <c r="V589" s="2"/>
      <c r="AH589" s="90"/>
      <c r="AM589" s="90"/>
    </row>
    <row r="590">
      <c r="D590" s="2"/>
      <c r="E590" s="2"/>
      <c r="F590" s="2"/>
      <c r="I590" s="2"/>
      <c r="M590" s="2"/>
      <c r="S590" s="2"/>
      <c r="V590" s="2"/>
      <c r="AH590" s="90"/>
      <c r="AM590" s="90"/>
    </row>
    <row r="591">
      <c r="D591" s="2"/>
      <c r="E591" s="2"/>
      <c r="F591" s="2"/>
      <c r="I591" s="2"/>
      <c r="M591" s="2"/>
      <c r="S591" s="2"/>
      <c r="V591" s="2"/>
      <c r="AH591" s="90"/>
      <c r="AM591" s="90"/>
    </row>
    <row r="592">
      <c r="D592" s="2"/>
      <c r="E592" s="2"/>
      <c r="F592" s="2"/>
      <c r="I592" s="2"/>
      <c r="M592" s="2"/>
      <c r="S592" s="2"/>
      <c r="V592" s="2"/>
      <c r="AH592" s="90"/>
      <c r="AM592" s="90"/>
    </row>
    <row r="593">
      <c r="D593" s="2"/>
      <c r="E593" s="2"/>
      <c r="F593" s="2"/>
      <c r="I593" s="2"/>
      <c r="M593" s="2"/>
      <c r="S593" s="2"/>
      <c r="V593" s="2"/>
      <c r="AH593" s="90"/>
      <c r="AM593" s="90"/>
    </row>
    <row r="594">
      <c r="D594" s="2"/>
      <c r="E594" s="2"/>
      <c r="F594" s="2"/>
      <c r="I594" s="2"/>
      <c r="M594" s="2"/>
      <c r="S594" s="2"/>
      <c r="V594" s="2"/>
      <c r="AH594" s="90"/>
      <c r="AM594" s="90"/>
    </row>
    <row r="595">
      <c r="D595" s="2"/>
      <c r="E595" s="2"/>
      <c r="F595" s="2"/>
      <c r="I595" s="2"/>
      <c r="M595" s="2"/>
      <c r="S595" s="2"/>
      <c r="V595" s="2"/>
      <c r="AH595" s="90"/>
      <c r="AM595" s="90"/>
    </row>
    <row r="596">
      <c r="D596" s="2"/>
      <c r="E596" s="2"/>
      <c r="F596" s="2"/>
      <c r="I596" s="2"/>
      <c r="M596" s="2"/>
      <c r="S596" s="2"/>
      <c r="V596" s="2"/>
      <c r="AH596" s="90"/>
      <c r="AM596" s="90"/>
    </row>
    <row r="597">
      <c r="D597" s="2"/>
      <c r="E597" s="2"/>
      <c r="F597" s="2"/>
      <c r="I597" s="2"/>
      <c r="M597" s="2"/>
      <c r="S597" s="2"/>
      <c r="V597" s="2"/>
      <c r="AH597" s="90"/>
      <c r="AM597" s="90"/>
    </row>
    <row r="598">
      <c r="D598" s="2"/>
      <c r="E598" s="2"/>
      <c r="F598" s="2"/>
      <c r="I598" s="2"/>
      <c r="M598" s="2"/>
      <c r="S598" s="2"/>
      <c r="V598" s="2"/>
      <c r="AH598" s="90"/>
      <c r="AM598" s="90"/>
    </row>
    <row r="599">
      <c r="D599" s="2"/>
      <c r="E599" s="2"/>
      <c r="F599" s="2"/>
      <c r="I599" s="2"/>
      <c r="M599" s="2"/>
      <c r="S599" s="2"/>
      <c r="V599" s="2"/>
      <c r="AH599" s="90"/>
      <c r="AM599" s="90"/>
    </row>
    <row r="600">
      <c r="D600" s="2"/>
      <c r="E600" s="2"/>
      <c r="F600" s="2"/>
      <c r="I600" s="2"/>
      <c r="M600" s="2"/>
      <c r="S600" s="2"/>
      <c r="V600" s="2"/>
      <c r="AH600" s="90"/>
      <c r="AM600" s="90"/>
    </row>
    <row r="601">
      <c r="D601" s="2"/>
      <c r="E601" s="2"/>
      <c r="F601" s="2"/>
      <c r="I601" s="2"/>
      <c r="M601" s="2"/>
      <c r="S601" s="2"/>
      <c r="V601" s="2"/>
      <c r="AH601" s="90"/>
      <c r="AM601" s="90"/>
    </row>
    <row r="602">
      <c r="D602" s="2"/>
      <c r="E602" s="2"/>
      <c r="F602" s="2"/>
      <c r="I602" s="2"/>
      <c r="M602" s="2"/>
      <c r="S602" s="2"/>
      <c r="V602" s="2"/>
      <c r="AH602" s="90"/>
      <c r="AM602" s="90"/>
    </row>
    <row r="603">
      <c r="D603" s="2"/>
      <c r="E603" s="2"/>
      <c r="F603" s="2"/>
      <c r="I603" s="2"/>
      <c r="M603" s="2"/>
      <c r="S603" s="2"/>
      <c r="V603" s="2"/>
      <c r="AH603" s="90"/>
      <c r="AM603" s="90"/>
    </row>
    <row r="604">
      <c r="D604" s="2"/>
      <c r="E604" s="2"/>
      <c r="F604" s="2"/>
      <c r="I604" s="2"/>
      <c r="M604" s="2"/>
      <c r="S604" s="2"/>
      <c r="V604" s="2"/>
      <c r="AH604" s="90"/>
      <c r="AM604" s="90"/>
    </row>
    <row r="605">
      <c r="D605" s="2"/>
      <c r="E605" s="2"/>
      <c r="F605" s="2"/>
      <c r="I605" s="2"/>
      <c r="M605" s="2"/>
      <c r="S605" s="2"/>
      <c r="V605" s="2"/>
      <c r="AH605" s="90"/>
      <c r="AM605" s="90"/>
    </row>
    <row r="606">
      <c r="D606" s="2"/>
      <c r="E606" s="2"/>
      <c r="F606" s="2"/>
      <c r="I606" s="2"/>
      <c r="M606" s="2"/>
      <c r="S606" s="2"/>
      <c r="V606" s="2"/>
      <c r="AH606" s="90"/>
      <c r="AM606" s="90"/>
    </row>
    <row r="607">
      <c r="D607" s="2"/>
      <c r="E607" s="2"/>
      <c r="F607" s="2"/>
      <c r="I607" s="2"/>
      <c r="M607" s="2"/>
      <c r="S607" s="2"/>
      <c r="V607" s="2"/>
      <c r="AH607" s="90"/>
      <c r="AM607" s="90"/>
    </row>
    <row r="608">
      <c r="D608" s="2"/>
      <c r="E608" s="2"/>
      <c r="F608" s="2"/>
      <c r="I608" s="2"/>
      <c r="M608" s="2"/>
      <c r="S608" s="2"/>
      <c r="V608" s="2"/>
      <c r="AH608" s="90"/>
      <c r="AM608" s="90"/>
    </row>
    <row r="609">
      <c r="D609" s="2"/>
      <c r="E609" s="2"/>
      <c r="F609" s="2"/>
      <c r="I609" s="2"/>
      <c r="M609" s="2"/>
      <c r="S609" s="2"/>
      <c r="V609" s="2"/>
      <c r="AH609" s="90"/>
      <c r="AM609" s="90"/>
    </row>
    <row r="610">
      <c r="D610" s="2"/>
      <c r="E610" s="2"/>
      <c r="F610" s="2"/>
      <c r="I610" s="2"/>
      <c r="M610" s="2"/>
      <c r="S610" s="2"/>
      <c r="V610" s="2"/>
      <c r="AH610" s="90"/>
      <c r="AM610" s="90"/>
    </row>
    <row r="611">
      <c r="D611" s="2"/>
      <c r="E611" s="2"/>
      <c r="F611" s="2"/>
      <c r="I611" s="2"/>
      <c r="M611" s="2"/>
      <c r="S611" s="2"/>
      <c r="V611" s="2"/>
      <c r="AH611" s="90"/>
      <c r="AM611" s="90"/>
    </row>
    <row r="612">
      <c r="D612" s="2"/>
      <c r="E612" s="2"/>
      <c r="F612" s="2"/>
      <c r="I612" s="2"/>
      <c r="M612" s="2"/>
      <c r="S612" s="2"/>
      <c r="V612" s="2"/>
      <c r="AH612" s="90"/>
      <c r="AM612" s="90"/>
    </row>
    <row r="613">
      <c r="D613" s="2"/>
      <c r="E613" s="2"/>
      <c r="F613" s="2"/>
      <c r="I613" s="2"/>
      <c r="M613" s="2"/>
      <c r="S613" s="2"/>
      <c r="V613" s="2"/>
      <c r="AH613" s="90"/>
      <c r="AM613" s="90"/>
    </row>
    <row r="614">
      <c r="D614" s="2"/>
      <c r="E614" s="2"/>
      <c r="F614" s="2"/>
      <c r="I614" s="2"/>
      <c r="M614" s="2"/>
      <c r="S614" s="2"/>
      <c r="V614" s="2"/>
      <c r="AH614" s="90"/>
      <c r="AM614" s="90"/>
    </row>
    <row r="615">
      <c r="D615" s="2"/>
      <c r="E615" s="2"/>
      <c r="F615" s="2"/>
      <c r="I615" s="2"/>
      <c r="M615" s="2"/>
      <c r="S615" s="2"/>
      <c r="V615" s="2"/>
      <c r="AH615" s="90"/>
      <c r="AM615" s="90"/>
    </row>
    <row r="616">
      <c r="D616" s="2"/>
      <c r="E616" s="2"/>
      <c r="F616" s="2"/>
      <c r="I616" s="2"/>
      <c r="M616" s="2"/>
      <c r="S616" s="2"/>
      <c r="V616" s="2"/>
      <c r="AH616" s="90"/>
      <c r="AM616" s="90"/>
    </row>
    <row r="617">
      <c r="D617" s="2"/>
      <c r="E617" s="2"/>
      <c r="F617" s="2"/>
      <c r="I617" s="2"/>
      <c r="M617" s="2"/>
      <c r="S617" s="2"/>
      <c r="V617" s="2"/>
      <c r="AH617" s="90"/>
      <c r="AM617" s="90"/>
    </row>
    <row r="618">
      <c r="D618" s="2"/>
      <c r="E618" s="2"/>
      <c r="F618" s="2"/>
      <c r="I618" s="2"/>
      <c r="M618" s="2"/>
      <c r="S618" s="2"/>
      <c r="V618" s="2"/>
      <c r="AH618" s="90"/>
      <c r="AM618" s="90"/>
    </row>
    <row r="619">
      <c r="D619" s="2"/>
      <c r="E619" s="2"/>
      <c r="F619" s="2"/>
      <c r="I619" s="2"/>
      <c r="M619" s="2"/>
      <c r="S619" s="2"/>
      <c r="V619" s="2"/>
      <c r="AH619" s="90"/>
      <c r="AM619" s="90"/>
    </row>
    <row r="620">
      <c r="D620" s="2"/>
      <c r="E620" s="2"/>
      <c r="F620" s="2"/>
      <c r="I620" s="2"/>
      <c r="M620" s="2"/>
      <c r="S620" s="2"/>
      <c r="V620" s="2"/>
      <c r="AH620" s="90"/>
      <c r="AM620" s="90"/>
    </row>
    <row r="621">
      <c r="D621" s="2"/>
      <c r="E621" s="2"/>
      <c r="F621" s="2"/>
      <c r="I621" s="2"/>
      <c r="M621" s="2"/>
      <c r="S621" s="2"/>
      <c r="V621" s="2"/>
      <c r="AH621" s="90"/>
      <c r="AM621" s="90"/>
    </row>
    <row r="622">
      <c r="D622" s="2"/>
      <c r="E622" s="2"/>
      <c r="F622" s="2"/>
      <c r="I622" s="2"/>
      <c r="M622" s="2"/>
      <c r="S622" s="2"/>
      <c r="V622" s="2"/>
      <c r="AH622" s="90"/>
      <c r="AM622" s="90"/>
    </row>
    <row r="623">
      <c r="D623" s="2"/>
      <c r="E623" s="2"/>
      <c r="F623" s="2"/>
      <c r="I623" s="2"/>
      <c r="M623" s="2"/>
      <c r="S623" s="2"/>
      <c r="V623" s="2"/>
      <c r="AH623" s="90"/>
      <c r="AM623" s="90"/>
    </row>
    <row r="624">
      <c r="D624" s="2"/>
      <c r="E624" s="2"/>
      <c r="F624" s="2"/>
      <c r="I624" s="2"/>
      <c r="M624" s="2"/>
      <c r="S624" s="2"/>
      <c r="V624" s="2"/>
      <c r="AH624" s="90"/>
      <c r="AM624" s="90"/>
    </row>
    <row r="625">
      <c r="D625" s="2"/>
      <c r="E625" s="2"/>
      <c r="F625" s="2"/>
      <c r="I625" s="2"/>
      <c r="M625" s="2"/>
      <c r="S625" s="2"/>
      <c r="V625" s="2"/>
      <c r="AH625" s="90"/>
      <c r="AM625" s="90"/>
    </row>
    <row r="626">
      <c r="D626" s="2"/>
      <c r="E626" s="2"/>
      <c r="F626" s="2"/>
      <c r="I626" s="2"/>
      <c r="M626" s="2"/>
      <c r="S626" s="2"/>
      <c r="V626" s="2"/>
      <c r="AH626" s="90"/>
      <c r="AM626" s="90"/>
    </row>
    <row r="627">
      <c r="D627" s="2"/>
      <c r="E627" s="2"/>
      <c r="F627" s="2"/>
      <c r="I627" s="2"/>
      <c r="M627" s="2"/>
      <c r="S627" s="2"/>
      <c r="V627" s="2"/>
      <c r="AH627" s="90"/>
      <c r="AM627" s="90"/>
    </row>
    <row r="628">
      <c r="D628" s="2"/>
      <c r="E628" s="2"/>
      <c r="F628" s="2"/>
      <c r="I628" s="2"/>
      <c r="M628" s="2"/>
      <c r="S628" s="2"/>
      <c r="V628" s="2"/>
      <c r="AH628" s="90"/>
      <c r="AM628" s="90"/>
    </row>
    <row r="629">
      <c r="D629" s="2"/>
      <c r="E629" s="2"/>
      <c r="F629" s="2"/>
      <c r="I629" s="2"/>
      <c r="M629" s="2"/>
      <c r="S629" s="2"/>
      <c r="V629" s="2"/>
      <c r="AH629" s="90"/>
      <c r="AM629" s="90"/>
    </row>
    <row r="630">
      <c r="D630" s="2"/>
      <c r="E630" s="2"/>
      <c r="F630" s="2"/>
      <c r="I630" s="2"/>
      <c r="M630" s="2"/>
      <c r="S630" s="2"/>
      <c r="V630" s="2"/>
      <c r="AH630" s="90"/>
      <c r="AM630" s="90"/>
    </row>
    <row r="631">
      <c r="D631" s="2"/>
      <c r="E631" s="2"/>
      <c r="F631" s="2"/>
      <c r="I631" s="2"/>
      <c r="M631" s="2"/>
      <c r="S631" s="2"/>
      <c r="V631" s="2"/>
      <c r="AH631" s="90"/>
      <c r="AM631" s="90"/>
    </row>
    <row r="632">
      <c r="D632" s="2"/>
      <c r="E632" s="2"/>
      <c r="F632" s="2"/>
      <c r="I632" s="2"/>
      <c r="M632" s="2"/>
      <c r="S632" s="2"/>
      <c r="V632" s="2"/>
      <c r="AH632" s="90"/>
      <c r="AM632" s="90"/>
    </row>
    <row r="633">
      <c r="D633" s="2"/>
      <c r="E633" s="2"/>
      <c r="F633" s="2"/>
      <c r="I633" s="2"/>
      <c r="M633" s="2"/>
      <c r="S633" s="2"/>
      <c r="V633" s="2"/>
      <c r="AH633" s="90"/>
      <c r="AM633" s="90"/>
    </row>
    <row r="634">
      <c r="D634" s="2"/>
      <c r="E634" s="2"/>
      <c r="F634" s="2"/>
      <c r="I634" s="2"/>
      <c r="M634" s="2"/>
      <c r="S634" s="2"/>
      <c r="V634" s="2"/>
      <c r="AH634" s="90"/>
      <c r="AM634" s="90"/>
    </row>
    <row r="635">
      <c r="D635" s="2"/>
      <c r="E635" s="2"/>
      <c r="F635" s="2"/>
      <c r="I635" s="2"/>
      <c r="M635" s="2"/>
      <c r="S635" s="2"/>
      <c r="V635" s="2"/>
      <c r="AH635" s="90"/>
      <c r="AM635" s="90"/>
    </row>
    <row r="636">
      <c r="D636" s="2"/>
      <c r="E636" s="2"/>
      <c r="F636" s="2"/>
      <c r="I636" s="2"/>
      <c r="M636" s="2"/>
      <c r="S636" s="2"/>
      <c r="V636" s="2"/>
      <c r="AH636" s="90"/>
      <c r="AM636" s="90"/>
    </row>
    <row r="637">
      <c r="D637" s="2"/>
      <c r="E637" s="2"/>
      <c r="F637" s="2"/>
      <c r="I637" s="2"/>
      <c r="M637" s="2"/>
      <c r="S637" s="2"/>
      <c r="V637" s="2"/>
      <c r="AH637" s="90"/>
      <c r="AM637" s="90"/>
    </row>
    <row r="638">
      <c r="D638" s="2"/>
      <c r="E638" s="2"/>
      <c r="F638" s="2"/>
      <c r="I638" s="2"/>
      <c r="M638" s="2"/>
      <c r="S638" s="2"/>
      <c r="V638" s="2"/>
      <c r="AH638" s="90"/>
      <c r="AM638" s="90"/>
    </row>
    <row r="639">
      <c r="D639" s="2"/>
      <c r="E639" s="2"/>
      <c r="F639" s="2"/>
      <c r="I639" s="2"/>
      <c r="M639" s="2"/>
      <c r="S639" s="2"/>
      <c r="V639" s="2"/>
      <c r="AH639" s="90"/>
      <c r="AM639" s="90"/>
    </row>
    <row r="640">
      <c r="D640" s="2"/>
      <c r="E640" s="2"/>
      <c r="F640" s="2"/>
      <c r="I640" s="2"/>
      <c r="M640" s="2"/>
      <c r="S640" s="2"/>
      <c r="V640" s="2"/>
      <c r="AH640" s="90"/>
      <c r="AM640" s="90"/>
    </row>
    <row r="641">
      <c r="D641" s="2"/>
      <c r="E641" s="2"/>
      <c r="F641" s="2"/>
      <c r="I641" s="2"/>
      <c r="M641" s="2"/>
      <c r="S641" s="2"/>
      <c r="V641" s="2"/>
      <c r="AH641" s="90"/>
      <c r="AM641" s="90"/>
    </row>
    <row r="642">
      <c r="D642" s="2"/>
      <c r="E642" s="2"/>
      <c r="F642" s="2"/>
      <c r="I642" s="2"/>
      <c r="M642" s="2"/>
      <c r="S642" s="2"/>
      <c r="V642" s="2"/>
      <c r="AH642" s="90"/>
      <c r="AM642" s="90"/>
    </row>
    <row r="643">
      <c r="D643" s="2"/>
      <c r="E643" s="2"/>
      <c r="F643" s="2"/>
      <c r="I643" s="2"/>
      <c r="M643" s="2"/>
      <c r="S643" s="2"/>
      <c r="V643" s="2"/>
      <c r="AH643" s="90"/>
      <c r="AM643" s="90"/>
    </row>
    <row r="644">
      <c r="D644" s="2"/>
      <c r="E644" s="2"/>
      <c r="F644" s="2"/>
      <c r="I644" s="2"/>
      <c r="M644" s="2"/>
      <c r="S644" s="2"/>
      <c r="V644" s="2"/>
      <c r="AH644" s="90"/>
      <c r="AM644" s="90"/>
    </row>
    <row r="645">
      <c r="D645" s="2"/>
      <c r="E645" s="2"/>
      <c r="F645" s="2"/>
      <c r="I645" s="2"/>
      <c r="M645" s="2"/>
      <c r="S645" s="2"/>
      <c r="V645" s="2"/>
      <c r="AH645" s="90"/>
      <c r="AM645" s="90"/>
    </row>
    <row r="646">
      <c r="D646" s="2"/>
      <c r="E646" s="2"/>
      <c r="F646" s="2"/>
      <c r="I646" s="2"/>
      <c r="M646" s="2"/>
      <c r="S646" s="2"/>
      <c r="V646" s="2"/>
      <c r="AH646" s="90"/>
      <c r="AM646" s="90"/>
    </row>
    <row r="647">
      <c r="D647" s="2"/>
      <c r="E647" s="2"/>
      <c r="F647" s="2"/>
      <c r="I647" s="2"/>
      <c r="M647" s="2"/>
      <c r="S647" s="2"/>
      <c r="V647" s="2"/>
      <c r="AH647" s="90"/>
      <c r="AM647" s="90"/>
    </row>
    <row r="648">
      <c r="D648" s="2"/>
      <c r="E648" s="2"/>
      <c r="F648" s="2"/>
      <c r="I648" s="2"/>
      <c r="M648" s="2"/>
      <c r="S648" s="2"/>
      <c r="V648" s="2"/>
      <c r="AH648" s="90"/>
      <c r="AM648" s="90"/>
    </row>
    <row r="649">
      <c r="D649" s="2"/>
      <c r="E649" s="2"/>
      <c r="F649" s="2"/>
      <c r="I649" s="2"/>
      <c r="M649" s="2"/>
      <c r="S649" s="2"/>
      <c r="V649" s="2"/>
      <c r="AH649" s="90"/>
      <c r="AM649" s="90"/>
    </row>
    <row r="650">
      <c r="D650" s="2"/>
      <c r="E650" s="2"/>
      <c r="F650" s="2"/>
      <c r="I650" s="2"/>
      <c r="M650" s="2"/>
      <c r="S650" s="2"/>
      <c r="V650" s="2"/>
      <c r="AH650" s="90"/>
      <c r="AM650" s="90"/>
    </row>
    <row r="651">
      <c r="D651" s="2"/>
      <c r="E651" s="2"/>
      <c r="F651" s="2"/>
      <c r="I651" s="2"/>
      <c r="M651" s="2"/>
      <c r="S651" s="2"/>
      <c r="V651" s="2"/>
      <c r="AH651" s="90"/>
      <c r="AM651" s="90"/>
    </row>
    <row r="652">
      <c r="D652" s="2"/>
      <c r="E652" s="2"/>
      <c r="F652" s="2"/>
      <c r="I652" s="2"/>
      <c r="M652" s="2"/>
      <c r="S652" s="2"/>
      <c r="V652" s="2"/>
      <c r="AH652" s="90"/>
      <c r="AM652" s="90"/>
    </row>
    <row r="653">
      <c r="D653" s="2"/>
      <c r="E653" s="2"/>
      <c r="F653" s="2"/>
      <c r="I653" s="2"/>
      <c r="M653" s="2"/>
      <c r="S653" s="2"/>
      <c r="V653" s="2"/>
      <c r="AH653" s="90"/>
      <c r="AM653" s="90"/>
    </row>
    <row r="654">
      <c r="D654" s="2"/>
      <c r="E654" s="2"/>
      <c r="F654" s="2"/>
      <c r="I654" s="2"/>
      <c r="M654" s="2"/>
      <c r="S654" s="2"/>
      <c r="V654" s="2"/>
      <c r="AH654" s="90"/>
      <c r="AM654" s="90"/>
    </row>
    <row r="655">
      <c r="D655" s="2"/>
      <c r="E655" s="2"/>
      <c r="F655" s="2"/>
      <c r="I655" s="2"/>
      <c r="M655" s="2"/>
      <c r="S655" s="2"/>
      <c r="V655" s="2"/>
      <c r="AH655" s="90"/>
      <c r="AM655" s="90"/>
    </row>
    <row r="656">
      <c r="D656" s="2"/>
      <c r="E656" s="2"/>
      <c r="F656" s="2"/>
      <c r="I656" s="2"/>
      <c r="M656" s="2"/>
      <c r="S656" s="2"/>
      <c r="V656" s="2"/>
      <c r="AH656" s="90"/>
      <c r="AM656" s="90"/>
    </row>
    <row r="657">
      <c r="D657" s="2"/>
      <c r="E657" s="2"/>
      <c r="F657" s="2"/>
      <c r="I657" s="2"/>
      <c r="M657" s="2"/>
      <c r="S657" s="2"/>
      <c r="V657" s="2"/>
      <c r="AH657" s="90"/>
      <c r="AM657" s="90"/>
    </row>
    <row r="658">
      <c r="D658" s="2"/>
      <c r="E658" s="2"/>
      <c r="F658" s="2"/>
      <c r="I658" s="2"/>
      <c r="M658" s="2"/>
      <c r="S658" s="2"/>
      <c r="V658" s="2"/>
      <c r="AH658" s="90"/>
      <c r="AM658" s="90"/>
    </row>
    <row r="659">
      <c r="D659" s="2"/>
      <c r="E659" s="2"/>
      <c r="F659" s="2"/>
      <c r="I659" s="2"/>
      <c r="M659" s="2"/>
      <c r="S659" s="2"/>
      <c r="V659" s="2"/>
      <c r="AH659" s="90"/>
      <c r="AM659" s="90"/>
    </row>
    <row r="660">
      <c r="D660" s="2"/>
      <c r="E660" s="2"/>
      <c r="F660" s="2"/>
      <c r="I660" s="2"/>
      <c r="M660" s="2"/>
      <c r="S660" s="2"/>
      <c r="V660" s="2"/>
      <c r="AH660" s="90"/>
      <c r="AM660" s="90"/>
    </row>
    <row r="661">
      <c r="D661" s="2"/>
      <c r="E661" s="2"/>
      <c r="F661" s="2"/>
      <c r="I661" s="2"/>
      <c r="M661" s="2"/>
      <c r="S661" s="2"/>
      <c r="V661" s="2"/>
      <c r="AH661" s="90"/>
      <c r="AM661" s="90"/>
    </row>
    <row r="662">
      <c r="D662" s="2"/>
      <c r="E662" s="2"/>
      <c r="F662" s="2"/>
      <c r="I662" s="2"/>
      <c r="M662" s="2"/>
      <c r="S662" s="2"/>
      <c r="V662" s="2"/>
      <c r="AH662" s="90"/>
      <c r="AM662" s="90"/>
    </row>
    <row r="663">
      <c r="D663" s="2"/>
      <c r="E663" s="2"/>
      <c r="F663" s="2"/>
      <c r="I663" s="2"/>
      <c r="M663" s="2"/>
      <c r="S663" s="2"/>
      <c r="V663" s="2"/>
      <c r="AH663" s="90"/>
      <c r="AM663" s="90"/>
    </row>
    <row r="664">
      <c r="D664" s="2"/>
      <c r="E664" s="2"/>
      <c r="F664" s="2"/>
      <c r="I664" s="2"/>
      <c r="M664" s="2"/>
      <c r="S664" s="2"/>
      <c r="V664" s="2"/>
      <c r="AH664" s="90"/>
      <c r="AM664" s="90"/>
    </row>
    <row r="665">
      <c r="D665" s="2"/>
      <c r="E665" s="2"/>
      <c r="F665" s="2"/>
      <c r="I665" s="2"/>
      <c r="M665" s="2"/>
      <c r="S665" s="2"/>
      <c r="V665" s="2"/>
      <c r="AH665" s="90"/>
      <c r="AM665" s="90"/>
    </row>
    <row r="666">
      <c r="D666" s="2"/>
      <c r="E666" s="2"/>
      <c r="F666" s="2"/>
      <c r="I666" s="2"/>
      <c r="M666" s="2"/>
      <c r="S666" s="2"/>
      <c r="V666" s="2"/>
      <c r="AH666" s="90"/>
      <c r="AM666" s="90"/>
    </row>
    <row r="667">
      <c r="D667" s="2"/>
      <c r="E667" s="2"/>
      <c r="F667" s="2"/>
      <c r="I667" s="2"/>
      <c r="M667" s="2"/>
      <c r="S667" s="2"/>
      <c r="V667" s="2"/>
      <c r="AH667" s="90"/>
      <c r="AM667" s="90"/>
    </row>
    <row r="668">
      <c r="D668" s="2"/>
      <c r="E668" s="2"/>
      <c r="F668" s="2"/>
      <c r="I668" s="2"/>
      <c r="M668" s="2"/>
      <c r="S668" s="2"/>
      <c r="V668" s="2"/>
      <c r="AH668" s="90"/>
      <c r="AM668" s="90"/>
    </row>
    <row r="669">
      <c r="D669" s="2"/>
      <c r="E669" s="2"/>
      <c r="F669" s="2"/>
      <c r="I669" s="2"/>
      <c r="M669" s="2"/>
      <c r="S669" s="2"/>
      <c r="V669" s="2"/>
      <c r="AH669" s="90"/>
      <c r="AM669" s="90"/>
    </row>
    <row r="670">
      <c r="D670" s="2"/>
      <c r="E670" s="2"/>
      <c r="F670" s="2"/>
      <c r="I670" s="2"/>
      <c r="M670" s="2"/>
      <c r="S670" s="2"/>
      <c r="V670" s="2"/>
      <c r="AH670" s="90"/>
      <c r="AM670" s="90"/>
    </row>
    <row r="671">
      <c r="D671" s="2"/>
      <c r="E671" s="2"/>
      <c r="F671" s="2"/>
      <c r="I671" s="2"/>
      <c r="M671" s="2"/>
      <c r="S671" s="2"/>
      <c r="V671" s="2"/>
      <c r="AH671" s="90"/>
      <c r="AM671" s="90"/>
    </row>
    <row r="672">
      <c r="D672" s="2"/>
      <c r="E672" s="2"/>
      <c r="F672" s="2"/>
      <c r="I672" s="2"/>
      <c r="M672" s="2"/>
      <c r="S672" s="2"/>
      <c r="V672" s="2"/>
      <c r="AH672" s="90"/>
      <c r="AM672" s="90"/>
    </row>
    <row r="673">
      <c r="D673" s="2"/>
      <c r="E673" s="2"/>
      <c r="F673" s="2"/>
      <c r="I673" s="2"/>
      <c r="M673" s="2"/>
      <c r="S673" s="2"/>
      <c r="V673" s="2"/>
      <c r="AH673" s="90"/>
      <c r="AM673" s="90"/>
    </row>
    <row r="674">
      <c r="D674" s="2"/>
      <c r="E674" s="2"/>
      <c r="F674" s="2"/>
      <c r="I674" s="2"/>
      <c r="M674" s="2"/>
      <c r="S674" s="2"/>
      <c r="V674" s="2"/>
      <c r="AH674" s="90"/>
      <c r="AM674" s="90"/>
    </row>
    <row r="675">
      <c r="D675" s="2"/>
      <c r="E675" s="2"/>
      <c r="F675" s="2"/>
      <c r="I675" s="2"/>
      <c r="M675" s="2"/>
      <c r="S675" s="2"/>
      <c r="V675" s="2"/>
      <c r="AH675" s="90"/>
      <c r="AM675" s="90"/>
    </row>
    <row r="676">
      <c r="D676" s="2"/>
      <c r="E676" s="2"/>
      <c r="F676" s="2"/>
      <c r="I676" s="2"/>
      <c r="M676" s="2"/>
      <c r="S676" s="2"/>
      <c r="V676" s="2"/>
      <c r="AH676" s="90"/>
      <c r="AM676" s="90"/>
    </row>
    <row r="677">
      <c r="D677" s="2"/>
      <c r="E677" s="2"/>
      <c r="F677" s="2"/>
      <c r="I677" s="2"/>
      <c r="M677" s="2"/>
      <c r="S677" s="2"/>
      <c r="V677" s="2"/>
      <c r="AH677" s="90"/>
      <c r="AM677" s="90"/>
    </row>
    <row r="678">
      <c r="D678" s="2"/>
      <c r="E678" s="2"/>
      <c r="F678" s="2"/>
      <c r="I678" s="2"/>
      <c r="M678" s="2"/>
      <c r="S678" s="2"/>
      <c r="V678" s="2"/>
      <c r="AH678" s="90"/>
      <c r="AM678" s="90"/>
    </row>
    <row r="679">
      <c r="D679" s="2"/>
      <c r="E679" s="2"/>
      <c r="F679" s="2"/>
      <c r="I679" s="2"/>
      <c r="M679" s="2"/>
      <c r="S679" s="2"/>
      <c r="V679" s="2"/>
      <c r="AH679" s="90"/>
      <c r="AM679" s="90"/>
    </row>
    <row r="680">
      <c r="D680" s="2"/>
      <c r="E680" s="2"/>
      <c r="F680" s="2"/>
      <c r="I680" s="2"/>
      <c r="M680" s="2"/>
      <c r="S680" s="2"/>
      <c r="V680" s="2"/>
      <c r="AH680" s="90"/>
      <c r="AM680" s="90"/>
    </row>
    <row r="681">
      <c r="D681" s="2"/>
      <c r="E681" s="2"/>
      <c r="F681" s="2"/>
      <c r="I681" s="2"/>
      <c r="M681" s="2"/>
      <c r="S681" s="2"/>
      <c r="V681" s="2"/>
      <c r="AH681" s="90"/>
      <c r="AM681" s="90"/>
    </row>
    <row r="682">
      <c r="D682" s="2"/>
      <c r="E682" s="2"/>
      <c r="F682" s="2"/>
      <c r="I682" s="2"/>
      <c r="M682" s="2"/>
      <c r="S682" s="2"/>
      <c r="V682" s="2"/>
      <c r="AH682" s="90"/>
      <c r="AM682" s="90"/>
    </row>
    <row r="683">
      <c r="D683" s="2"/>
      <c r="E683" s="2"/>
      <c r="F683" s="2"/>
      <c r="I683" s="2"/>
      <c r="M683" s="2"/>
      <c r="S683" s="2"/>
      <c r="V683" s="2"/>
      <c r="AH683" s="90"/>
      <c r="AM683" s="90"/>
    </row>
    <row r="684">
      <c r="D684" s="2"/>
      <c r="E684" s="2"/>
      <c r="F684" s="2"/>
      <c r="I684" s="2"/>
      <c r="M684" s="2"/>
      <c r="S684" s="2"/>
      <c r="V684" s="2"/>
      <c r="AH684" s="90"/>
      <c r="AM684" s="90"/>
    </row>
    <row r="685">
      <c r="D685" s="2"/>
      <c r="E685" s="2"/>
      <c r="F685" s="2"/>
      <c r="I685" s="2"/>
      <c r="M685" s="2"/>
      <c r="S685" s="2"/>
      <c r="V685" s="2"/>
      <c r="AH685" s="90"/>
      <c r="AM685" s="90"/>
    </row>
    <row r="686">
      <c r="D686" s="2"/>
      <c r="E686" s="2"/>
      <c r="F686" s="2"/>
      <c r="I686" s="2"/>
      <c r="M686" s="2"/>
      <c r="S686" s="2"/>
      <c r="V686" s="2"/>
      <c r="AH686" s="90"/>
      <c r="AM686" s="90"/>
    </row>
    <row r="687">
      <c r="D687" s="2"/>
      <c r="E687" s="2"/>
      <c r="F687" s="2"/>
      <c r="I687" s="2"/>
      <c r="M687" s="2"/>
      <c r="S687" s="2"/>
      <c r="V687" s="2"/>
      <c r="AH687" s="90"/>
      <c r="AM687" s="90"/>
    </row>
    <row r="688">
      <c r="D688" s="2"/>
      <c r="E688" s="2"/>
      <c r="F688" s="2"/>
      <c r="I688" s="2"/>
      <c r="M688" s="2"/>
      <c r="S688" s="2"/>
      <c r="V688" s="2"/>
      <c r="AH688" s="90"/>
      <c r="AM688" s="90"/>
    </row>
    <row r="689">
      <c r="D689" s="2"/>
      <c r="E689" s="2"/>
      <c r="F689" s="2"/>
      <c r="I689" s="2"/>
      <c r="M689" s="2"/>
      <c r="S689" s="2"/>
      <c r="V689" s="2"/>
      <c r="AH689" s="90"/>
      <c r="AM689" s="90"/>
    </row>
    <row r="690">
      <c r="D690" s="2"/>
      <c r="E690" s="2"/>
      <c r="F690" s="2"/>
      <c r="I690" s="2"/>
      <c r="M690" s="2"/>
      <c r="S690" s="2"/>
      <c r="V690" s="2"/>
      <c r="AH690" s="90"/>
      <c r="AM690" s="90"/>
    </row>
    <row r="691">
      <c r="D691" s="2"/>
      <c r="E691" s="2"/>
      <c r="F691" s="2"/>
      <c r="I691" s="2"/>
      <c r="M691" s="2"/>
      <c r="S691" s="2"/>
      <c r="V691" s="2"/>
      <c r="AH691" s="90"/>
      <c r="AM691" s="90"/>
    </row>
    <row r="692">
      <c r="D692" s="2"/>
      <c r="E692" s="2"/>
      <c r="F692" s="2"/>
      <c r="I692" s="2"/>
      <c r="M692" s="2"/>
      <c r="S692" s="2"/>
      <c r="V692" s="2"/>
      <c r="AH692" s="90"/>
      <c r="AM692" s="90"/>
    </row>
    <row r="693">
      <c r="D693" s="2"/>
      <c r="E693" s="2"/>
      <c r="F693" s="2"/>
      <c r="I693" s="2"/>
      <c r="M693" s="2"/>
      <c r="S693" s="2"/>
      <c r="V693" s="2"/>
      <c r="AH693" s="90"/>
      <c r="AM693" s="90"/>
    </row>
    <row r="694">
      <c r="D694" s="2"/>
      <c r="E694" s="2"/>
      <c r="F694" s="2"/>
      <c r="I694" s="2"/>
      <c r="M694" s="2"/>
      <c r="S694" s="2"/>
      <c r="V694" s="2"/>
      <c r="AH694" s="90"/>
      <c r="AM694" s="90"/>
    </row>
    <row r="695">
      <c r="D695" s="2"/>
      <c r="E695" s="2"/>
      <c r="F695" s="2"/>
      <c r="I695" s="2"/>
      <c r="M695" s="2"/>
      <c r="S695" s="2"/>
      <c r="V695" s="2"/>
      <c r="AH695" s="90"/>
      <c r="AM695" s="90"/>
    </row>
    <row r="696">
      <c r="D696" s="2"/>
      <c r="E696" s="2"/>
      <c r="F696" s="2"/>
      <c r="I696" s="2"/>
      <c r="M696" s="2"/>
      <c r="S696" s="2"/>
      <c r="V696" s="2"/>
      <c r="AH696" s="90"/>
      <c r="AM696" s="90"/>
    </row>
    <row r="697">
      <c r="D697" s="2"/>
      <c r="E697" s="2"/>
      <c r="F697" s="2"/>
      <c r="I697" s="2"/>
      <c r="M697" s="2"/>
      <c r="S697" s="2"/>
      <c r="V697" s="2"/>
      <c r="AH697" s="90"/>
      <c r="AM697" s="90"/>
    </row>
    <row r="698">
      <c r="D698" s="2"/>
      <c r="E698" s="2"/>
      <c r="F698" s="2"/>
      <c r="I698" s="2"/>
      <c r="M698" s="2"/>
      <c r="S698" s="2"/>
      <c r="V698" s="2"/>
      <c r="AH698" s="90"/>
      <c r="AM698" s="90"/>
    </row>
    <row r="699">
      <c r="D699" s="2"/>
      <c r="E699" s="2"/>
      <c r="F699" s="2"/>
      <c r="I699" s="2"/>
      <c r="M699" s="2"/>
      <c r="S699" s="2"/>
      <c r="V699" s="2"/>
      <c r="AH699" s="90"/>
      <c r="AM699" s="90"/>
    </row>
    <row r="700">
      <c r="D700" s="2"/>
      <c r="E700" s="2"/>
      <c r="F700" s="2"/>
      <c r="I700" s="2"/>
      <c r="M700" s="2"/>
      <c r="S700" s="2"/>
      <c r="V700" s="2"/>
      <c r="AH700" s="90"/>
      <c r="AM700" s="90"/>
    </row>
    <row r="701">
      <c r="D701" s="2"/>
      <c r="E701" s="2"/>
      <c r="F701" s="2"/>
      <c r="I701" s="2"/>
      <c r="M701" s="2"/>
      <c r="S701" s="2"/>
      <c r="V701" s="2"/>
      <c r="AH701" s="90"/>
      <c r="AM701" s="90"/>
    </row>
    <row r="702">
      <c r="D702" s="2"/>
      <c r="E702" s="2"/>
      <c r="F702" s="2"/>
      <c r="I702" s="2"/>
      <c r="M702" s="2"/>
      <c r="S702" s="2"/>
      <c r="V702" s="2"/>
      <c r="AH702" s="90"/>
      <c r="AM702" s="90"/>
    </row>
    <row r="703">
      <c r="D703" s="2"/>
      <c r="E703" s="2"/>
      <c r="F703" s="2"/>
      <c r="I703" s="2"/>
      <c r="M703" s="2"/>
      <c r="S703" s="2"/>
      <c r="V703" s="2"/>
      <c r="AH703" s="90"/>
      <c r="AM703" s="90"/>
    </row>
    <row r="704">
      <c r="D704" s="2"/>
      <c r="E704" s="2"/>
      <c r="F704" s="2"/>
      <c r="I704" s="2"/>
      <c r="M704" s="2"/>
      <c r="S704" s="2"/>
      <c r="V704" s="2"/>
      <c r="AH704" s="90"/>
      <c r="AM704" s="90"/>
    </row>
    <row r="705">
      <c r="D705" s="2"/>
      <c r="E705" s="2"/>
      <c r="F705" s="2"/>
      <c r="I705" s="2"/>
      <c r="M705" s="2"/>
      <c r="S705" s="2"/>
      <c r="V705" s="2"/>
      <c r="AH705" s="90"/>
      <c r="AM705" s="90"/>
    </row>
    <row r="706">
      <c r="D706" s="2"/>
      <c r="E706" s="2"/>
      <c r="F706" s="2"/>
      <c r="I706" s="2"/>
      <c r="M706" s="2"/>
      <c r="S706" s="2"/>
      <c r="V706" s="2"/>
      <c r="AH706" s="90"/>
      <c r="AM706" s="90"/>
    </row>
    <row r="707">
      <c r="D707" s="2"/>
      <c r="E707" s="2"/>
      <c r="F707" s="2"/>
      <c r="I707" s="2"/>
      <c r="M707" s="2"/>
      <c r="S707" s="2"/>
      <c r="V707" s="2"/>
      <c r="AH707" s="90"/>
      <c r="AM707" s="90"/>
    </row>
    <row r="708">
      <c r="D708" s="2"/>
      <c r="E708" s="2"/>
      <c r="F708" s="2"/>
      <c r="I708" s="2"/>
      <c r="M708" s="2"/>
      <c r="S708" s="2"/>
      <c r="V708" s="2"/>
      <c r="AH708" s="90"/>
      <c r="AM708" s="90"/>
    </row>
    <row r="709">
      <c r="D709" s="2"/>
      <c r="E709" s="2"/>
      <c r="F709" s="2"/>
      <c r="I709" s="2"/>
      <c r="M709" s="2"/>
      <c r="S709" s="2"/>
      <c r="V709" s="2"/>
      <c r="AH709" s="90"/>
      <c r="AM709" s="90"/>
    </row>
    <row r="710">
      <c r="D710" s="2"/>
      <c r="E710" s="2"/>
      <c r="F710" s="2"/>
      <c r="I710" s="2"/>
      <c r="M710" s="2"/>
      <c r="S710" s="2"/>
      <c r="V710" s="2"/>
      <c r="AH710" s="90"/>
      <c r="AM710" s="90"/>
    </row>
    <row r="711">
      <c r="D711" s="2"/>
      <c r="E711" s="2"/>
      <c r="F711" s="2"/>
      <c r="I711" s="2"/>
      <c r="M711" s="2"/>
      <c r="S711" s="2"/>
      <c r="V711" s="2"/>
      <c r="AH711" s="90"/>
      <c r="AM711" s="90"/>
    </row>
    <row r="712">
      <c r="D712" s="2"/>
      <c r="E712" s="2"/>
      <c r="F712" s="2"/>
      <c r="I712" s="2"/>
      <c r="M712" s="2"/>
      <c r="S712" s="2"/>
      <c r="V712" s="2"/>
      <c r="AH712" s="90"/>
      <c r="AM712" s="90"/>
    </row>
    <row r="713">
      <c r="D713" s="2"/>
      <c r="E713" s="2"/>
      <c r="F713" s="2"/>
      <c r="I713" s="2"/>
      <c r="M713" s="2"/>
      <c r="S713" s="2"/>
      <c r="V713" s="2"/>
      <c r="AH713" s="90"/>
      <c r="AM713" s="90"/>
    </row>
    <row r="714">
      <c r="D714" s="2"/>
      <c r="E714" s="2"/>
      <c r="F714" s="2"/>
      <c r="I714" s="2"/>
      <c r="M714" s="2"/>
      <c r="S714" s="2"/>
      <c r="V714" s="2"/>
      <c r="AH714" s="90"/>
      <c r="AM714" s="90"/>
    </row>
    <row r="715">
      <c r="D715" s="2"/>
      <c r="E715" s="2"/>
      <c r="F715" s="2"/>
      <c r="I715" s="2"/>
      <c r="M715" s="2"/>
      <c r="S715" s="2"/>
      <c r="V715" s="2"/>
      <c r="AH715" s="90"/>
      <c r="AM715" s="90"/>
    </row>
    <row r="716">
      <c r="D716" s="2"/>
      <c r="E716" s="2"/>
      <c r="F716" s="2"/>
      <c r="I716" s="2"/>
      <c r="M716" s="2"/>
      <c r="S716" s="2"/>
      <c r="V716" s="2"/>
      <c r="AH716" s="90"/>
      <c r="AM716" s="90"/>
    </row>
    <row r="717">
      <c r="D717" s="2"/>
      <c r="E717" s="2"/>
      <c r="F717" s="2"/>
      <c r="I717" s="2"/>
      <c r="M717" s="2"/>
      <c r="S717" s="2"/>
      <c r="V717" s="2"/>
      <c r="AH717" s="90"/>
      <c r="AM717" s="90"/>
    </row>
    <row r="718">
      <c r="D718" s="2"/>
      <c r="E718" s="2"/>
      <c r="F718" s="2"/>
      <c r="I718" s="2"/>
      <c r="M718" s="2"/>
      <c r="S718" s="2"/>
      <c r="V718" s="2"/>
      <c r="AH718" s="90"/>
      <c r="AM718" s="90"/>
    </row>
    <row r="719">
      <c r="D719" s="2"/>
      <c r="E719" s="2"/>
      <c r="F719" s="2"/>
      <c r="I719" s="2"/>
      <c r="M719" s="2"/>
      <c r="S719" s="2"/>
      <c r="V719" s="2"/>
      <c r="AH719" s="90"/>
      <c r="AM719" s="90"/>
    </row>
    <row r="720">
      <c r="D720" s="2"/>
      <c r="E720" s="2"/>
      <c r="F720" s="2"/>
      <c r="I720" s="2"/>
      <c r="M720" s="2"/>
      <c r="S720" s="2"/>
      <c r="V720" s="2"/>
      <c r="AH720" s="90"/>
      <c r="AM720" s="90"/>
    </row>
    <row r="721">
      <c r="D721" s="2"/>
      <c r="E721" s="2"/>
      <c r="F721" s="2"/>
      <c r="I721" s="2"/>
      <c r="M721" s="2"/>
      <c r="S721" s="2"/>
      <c r="V721" s="2"/>
      <c r="AH721" s="90"/>
      <c r="AM721" s="90"/>
    </row>
    <row r="722">
      <c r="D722" s="2"/>
      <c r="E722" s="2"/>
      <c r="F722" s="2"/>
      <c r="I722" s="2"/>
      <c r="M722" s="2"/>
      <c r="S722" s="2"/>
      <c r="V722" s="2"/>
      <c r="AH722" s="90"/>
      <c r="AM722" s="90"/>
    </row>
    <row r="723">
      <c r="D723" s="2"/>
      <c r="E723" s="2"/>
      <c r="F723" s="2"/>
      <c r="I723" s="2"/>
      <c r="M723" s="2"/>
      <c r="S723" s="2"/>
      <c r="V723" s="2"/>
      <c r="AH723" s="90"/>
      <c r="AM723" s="90"/>
    </row>
    <row r="724">
      <c r="D724" s="2"/>
      <c r="E724" s="2"/>
      <c r="F724" s="2"/>
      <c r="I724" s="2"/>
      <c r="M724" s="2"/>
      <c r="S724" s="2"/>
      <c r="V724" s="2"/>
      <c r="AH724" s="90"/>
      <c r="AM724" s="90"/>
    </row>
    <row r="725">
      <c r="D725" s="2"/>
      <c r="E725" s="2"/>
      <c r="F725" s="2"/>
      <c r="I725" s="2"/>
      <c r="M725" s="2"/>
      <c r="S725" s="2"/>
      <c r="V725" s="2"/>
      <c r="AH725" s="90"/>
      <c r="AM725" s="90"/>
    </row>
    <row r="726">
      <c r="D726" s="2"/>
      <c r="E726" s="2"/>
      <c r="F726" s="2"/>
      <c r="I726" s="2"/>
      <c r="M726" s="2"/>
      <c r="S726" s="2"/>
      <c r="V726" s="2"/>
      <c r="AH726" s="90"/>
      <c r="AM726" s="90"/>
    </row>
    <row r="727">
      <c r="D727" s="2"/>
      <c r="E727" s="2"/>
      <c r="F727" s="2"/>
      <c r="I727" s="2"/>
      <c r="M727" s="2"/>
      <c r="S727" s="2"/>
      <c r="V727" s="2"/>
      <c r="AH727" s="90"/>
      <c r="AM727" s="90"/>
    </row>
    <row r="728">
      <c r="D728" s="2"/>
      <c r="E728" s="2"/>
      <c r="F728" s="2"/>
      <c r="I728" s="2"/>
      <c r="M728" s="2"/>
      <c r="S728" s="2"/>
      <c r="V728" s="2"/>
      <c r="AH728" s="90"/>
      <c r="AM728" s="90"/>
    </row>
    <row r="729">
      <c r="D729" s="2"/>
      <c r="E729" s="2"/>
      <c r="F729" s="2"/>
      <c r="I729" s="2"/>
      <c r="M729" s="2"/>
      <c r="S729" s="2"/>
      <c r="V729" s="2"/>
      <c r="AH729" s="90"/>
      <c r="AM729" s="90"/>
    </row>
    <row r="730">
      <c r="D730" s="2"/>
      <c r="E730" s="2"/>
      <c r="F730" s="2"/>
      <c r="I730" s="2"/>
      <c r="M730" s="2"/>
      <c r="S730" s="2"/>
      <c r="V730" s="2"/>
      <c r="AH730" s="90"/>
      <c r="AM730" s="90"/>
    </row>
    <row r="731">
      <c r="D731" s="2"/>
      <c r="E731" s="2"/>
      <c r="F731" s="2"/>
      <c r="I731" s="2"/>
      <c r="M731" s="2"/>
      <c r="S731" s="2"/>
      <c r="V731" s="2"/>
      <c r="AH731" s="90"/>
      <c r="AM731" s="90"/>
    </row>
    <row r="732">
      <c r="D732" s="2"/>
      <c r="E732" s="2"/>
      <c r="F732" s="2"/>
      <c r="I732" s="2"/>
      <c r="M732" s="2"/>
      <c r="S732" s="2"/>
      <c r="V732" s="2"/>
      <c r="AH732" s="90"/>
      <c r="AM732" s="90"/>
    </row>
    <row r="733">
      <c r="D733" s="2"/>
      <c r="E733" s="2"/>
      <c r="F733" s="2"/>
      <c r="I733" s="2"/>
      <c r="M733" s="2"/>
      <c r="S733" s="2"/>
      <c r="V733" s="2"/>
      <c r="AH733" s="90"/>
      <c r="AM733" s="90"/>
    </row>
    <row r="734">
      <c r="D734" s="2"/>
      <c r="E734" s="2"/>
      <c r="F734" s="2"/>
      <c r="I734" s="2"/>
      <c r="M734" s="2"/>
      <c r="S734" s="2"/>
      <c r="V734" s="2"/>
      <c r="AH734" s="90"/>
      <c r="AM734" s="90"/>
    </row>
    <row r="735">
      <c r="D735" s="2"/>
      <c r="E735" s="2"/>
      <c r="F735" s="2"/>
      <c r="I735" s="2"/>
      <c r="M735" s="2"/>
      <c r="S735" s="2"/>
      <c r="V735" s="2"/>
      <c r="AH735" s="90"/>
      <c r="AM735" s="90"/>
    </row>
    <row r="736">
      <c r="D736" s="2"/>
      <c r="E736" s="2"/>
      <c r="F736" s="2"/>
      <c r="I736" s="2"/>
      <c r="M736" s="2"/>
      <c r="S736" s="2"/>
      <c r="V736" s="2"/>
      <c r="AH736" s="90"/>
      <c r="AM736" s="90"/>
    </row>
    <row r="737">
      <c r="D737" s="2"/>
      <c r="E737" s="2"/>
      <c r="F737" s="2"/>
      <c r="I737" s="2"/>
      <c r="M737" s="2"/>
      <c r="S737" s="2"/>
      <c r="V737" s="2"/>
      <c r="AH737" s="90"/>
      <c r="AM737" s="90"/>
    </row>
    <row r="738">
      <c r="D738" s="2"/>
      <c r="E738" s="2"/>
      <c r="F738" s="2"/>
      <c r="I738" s="2"/>
      <c r="M738" s="2"/>
      <c r="S738" s="2"/>
      <c r="V738" s="2"/>
      <c r="AH738" s="90"/>
      <c r="AM738" s="90"/>
    </row>
    <row r="739">
      <c r="D739" s="2"/>
      <c r="E739" s="2"/>
      <c r="F739" s="2"/>
      <c r="I739" s="2"/>
      <c r="M739" s="2"/>
      <c r="S739" s="2"/>
      <c r="V739" s="2"/>
      <c r="AH739" s="90"/>
      <c r="AM739" s="90"/>
    </row>
    <row r="740">
      <c r="D740" s="2"/>
      <c r="E740" s="2"/>
      <c r="F740" s="2"/>
      <c r="I740" s="2"/>
      <c r="M740" s="2"/>
      <c r="S740" s="2"/>
      <c r="V740" s="2"/>
      <c r="AH740" s="90"/>
      <c r="AM740" s="90"/>
    </row>
    <row r="741">
      <c r="D741" s="2"/>
      <c r="E741" s="2"/>
      <c r="F741" s="2"/>
      <c r="I741" s="2"/>
      <c r="M741" s="2"/>
      <c r="S741" s="2"/>
      <c r="V741" s="2"/>
      <c r="AH741" s="90"/>
      <c r="AM741" s="90"/>
    </row>
    <row r="742">
      <c r="D742" s="2"/>
      <c r="E742" s="2"/>
      <c r="F742" s="2"/>
      <c r="I742" s="2"/>
      <c r="M742" s="2"/>
      <c r="S742" s="2"/>
      <c r="V742" s="2"/>
      <c r="AH742" s="90"/>
      <c r="AM742" s="90"/>
    </row>
    <row r="743">
      <c r="D743" s="2"/>
      <c r="E743" s="2"/>
      <c r="F743" s="2"/>
      <c r="I743" s="2"/>
      <c r="M743" s="2"/>
      <c r="S743" s="2"/>
      <c r="V743" s="2"/>
      <c r="AH743" s="90"/>
      <c r="AM743" s="90"/>
    </row>
    <row r="744">
      <c r="D744" s="2"/>
      <c r="E744" s="2"/>
      <c r="F744" s="2"/>
      <c r="I744" s="2"/>
      <c r="M744" s="2"/>
      <c r="S744" s="2"/>
      <c r="V744" s="2"/>
      <c r="AH744" s="90"/>
      <c r="AM744" s="90"/>
    </row>
    <row r="745">
      <c r="D745" s="2"/>
      <c r="E745" s="2"/>
      <c r="F745" s="2"/>
      <c r="I745" s="2"/>
      <c r="M745" s="2"/>
      <c r="S745" s="2"/>
      <c r="V745" s="2"/>
      <c r="AH745" s="90"/>
      <c r="AM745" s="90"/>
    </row>
    <row r="746">
      <c r="D746" s="2"/>
      <c r="E746" s="2"/>
      <c r="F746" s="2"/>
      <c r="I746" s="2"/>
      <c r="M746" s="2"/>
      <c r="S746" s="2"/>
      <c r="V746" s="2"/>
      <c r="AH746" s="90"/>
      <c r="AM746" s="90"/>
    </row>
    <row r="747">
      <c r="D747" s="2"/>
      <c r="E747" s="2"/>
      <c r="F747" s="2"/>
      <c r="I747" s="2"/>
      <c r="M747" s="2"/>
      <c r="S747" s="2"/>
      <c r="V747" s="2"/>
      <c r="AH747" s="90"/>
      <c r="AM747" s="90"/>
    </row>
    <row r="748">
      <c r="D748" s="2"/>
      <c r="E748" s="2"/>
      <c r="F748" s="2"/>
      <c r="I748" s="2"/>
      <c r="M748" s="2"/>
      <c r="S748" s="2"/>
      <c r="V748" s="2"/>
      <c r="AH748" s="90"/>
      <c r="AM748" s="90"/>
    </row>
    <row r="749">
      <c r="D749" s="2"/>
      <c r="E749" s="2"/>
      <c r="F749" s="2"/>
      <c r="I749" s="2"/>
      <c r="M749" s="2"/>
      <c r="S749" s="2"/>
      <c r="V749" s="2"/>
      <c r="AH749" s="90"/>
      <c r="AM749" s="90"/>
    </row>
    <row r="750">
      <c r="D750" s="2"/>
      <c r="E750" s="2"/>
      <c r="F750" s="2"/>
      <c r="I750" s="2"/>
      <c r="M750" s="2"/>
      <c r="S750" s="2"/>
      <c r="V750" s="2"/>
      <c r="AH750" s="90"/>
      <c r="AM750" s="90"/>
    </row>
    <row r="751">
      <c r="D751" s="2"/>
      <c r="E751" s="2"/>
      <c r="F751" s="2"/>
      <c r="I751" s="2"/>
      <c r="M751" s="2"/>
      <c r="S751" s="2"/>
      <c r="V751" s="2"/>
      <c r="AH751" s="90"/>
      <c r="AM751" s="90"/>
    </row>
    <row r="752">
      <c r="D752" s="2"/>
      <c r="E752" s="2"/>
      <c r="F752" s="2"/>
      <c r="I752" s="2"/>
      <c r="M752" s="2"/>
      <c r="S752" s="2"/>
      <c r="V752" s="2"/>
      <c r="AH752" s="90"/>
      <c r="AM752" s="90"/>
    </row>
    <row r="753">
      <c r="D753" s="2"/>
      <c r="E753" s="2"/>
      <c r="F753" s="2"/>
      <c r="I753" s="2"/>
      <c r="M753" s="2"/>
      <c r="S753" s="2"/>
      <c r="V753" s="2"/>
      <c r="AH753" s="90"/>
      <c r="AM753" s="90"/>
    </row>
    <row r="754">
      <c r="D754" s="2"/>
      <c r="E754" s="2"/>
      <c r="F754" s="2"/>
      <c r="I754" s="2"/>
      <c r="M754" s="2"/>
      <c r="S754" s="2"/>
      <c r="V754" s="2"/>
      <c r="AH754" s="90"/>
      <c r="AM754" s="90"/>
    </row>
    <row r="755">
      <c r="D755" s="2"/>
      <c r="E755" s="2"/>
      <c r="F755" s="2"/>
      <c r="I755" s="2"/>
      <c r="M755" s="2"/>
      <c r="S755" s="2"/>
      <c r="V755" s="2"/>
      <c r="AH755" s="90"/>
      <c r="AM755" s="90"/>
    </row>
    <row r="756">
      <c r="D756" s="2"/>
      <c r="E756" s="2"/>
      <c r="F756" s="2"/>
      <c r="I756" s="2"/>
      <c r="M756" s="2"/>
      <c r="S756" s="2"/>
      <c r="V756" s="2"/>
      <c r="AH756" s="90"/>
      <c r="AM756" s="90"/>
    </row>
    <row r="757">
      <c r="D757" s="2"/>
      <c r="E757" s="2"/>
      <c r="F757" s="2"/>
      <c r="I757" s="2"/>
      <c r="M757" s="2"/>
      <c r="S757" s="2"/>
      <c r="V757" s="2"/>
      <c r="AH757" s="90"/>
      <c r="AM757" s="90"/>
    </row>
    <row r="758">
      <c r="D758" s="2"/>
      <c r="E758" s="2"/>
      <c r="F758" s="2"/>
      <c r="I758" s="2"/>
      <c r="M758" s="2"/>
      <c r="S758" s="2"/>
      <c r="V758" s="2"/>
      <c r="AH758" s="90"/>
      <c r="AM758" s="90"/>
    </row>
    <row r="759">
      <c r="D759" s="2"/>
      <c r="E759" s="2"/>
      <c r="F759" s="2"/>
      <c r="I759" s="2"/>
      <c r="M759" s="2"/>
      <c r="S759" s="2"/>
      <c r="V759" s="2"/>
      <c r="AH759" s="90"/>
      <c r="AM759" s="90"/>
    </row>
    <row r="760">
      <c r="D760" s="2"/>
      <c r="E760" s="2"/>
      <c r="F760" s="2"/>
      <c r="I760" s="2"/>
      <c r="M760" s="2"/>
      <c r="S760" s="2"/>
      <c r="V760" s="2"/>
      <c r="AH760" s="90"/>
      <c r="AM760" s="90"/>
    </row>
    <row r="761">
      <c r="D761" s="2"/>
      <c r="E761" s="2"/>
      <c r="F761" s="2"/>
      <c r="I761" s="2"/>
      <c r="M761" s="2"/>
      <c r="S761" s="2"/>
      <c r="V761" s="2"/>
      <c r="AH761" s="90"/>
      <c r="AM761" s="90"/>
    </row>
    <row r="762">
      <c r="D762" s="2"/>
      <c r="E762" s="2"/>
      <c r="F762" s="2"/>
      <c r="I762" s="2"/>
      <c r="M762" s="2"/>
      <c r="S762" s="2"/>
      <c r="V762" s="2"/>
      <c r="AH762" s="90"/>
      <c r="AM762" s="90"/>
    </row>
    <row r="763">
      <c r="D763" s="2"/>
      <c r="E763" s="2"/>
      <c r="F763" s="2"/>
      <c r="I763" s="2"/>
      <c r="M763" s="2"/>
      <c r="S763" s="2"/>
      <c r="V763" s="2"/>
      <c r="AH763" s="90"/>
      <c r="AM763" s="90"/>
    </row>
    <row r="764">
      <c r="D764" s="2"/>
      <c r="E764" s="2"/>
      <c r="F764" s="2"/>
      <c r="I764" s="2"/>
      <c r="M764" s="2"/>
      <c r="S764" s="2"/>
      <c r="V764" s="2"/>
      <c r="AH764" s="90"/>
      <c r="AM764" s="90"/>
    </row>
    <row r="765">
      <c r="D765" s="2"/>
      <c r="E765" s="2"/>
      <c r="F765" s="2"/>
      <c r="I765" s="2"/>
      <c r="M765" s="2"/>
      <c r="S765" s="2"/>
      <c r="V765" s="2"/>
      <c r="AH765" s="90"/>
      <c r="AM765" s="90"/>
    </row>
    <row r="766">
      <c r="D766" s="2"/>
      <c r="E766" s="2"/>
      <c r="F766" s="2"/>
      <c r="I766" s="2"/>
      <c r="M766" s="2"/>
      <c r="S766" s="2"/>
      <c r="V766" s="2"/>
      <c r="AH766" s="90"/>
      <c r="AM766" s="90"/>
    </row>
    <row r="767">
      <c r="D767" s="2"/>
      <c r="E767" s="2"/>
      <c r="F767" s="2"/>
      <c r="I767" s="2"/>
      <c r="M767" s="2"/>
      <c r="S767" s="2"/>
      <c r="V767" s="2"/>
      <c r="AH767" s="90"/>
      <c r="AM767" s="90"/>
    </row>
    <row r="768">
      <c r="D768" s="2"/>
      <c r="E768" s="2"/>
      <c r="F768" s="2"/>
      <c r="I768" s="2"/>
      <c r="M768" s="2"/>
      <c r="S768" s="2"/>
      <c r="V768" s="2"/>
      <c r="AH768" s="90"/>
      <c r="AM768" s="90"/>
    </row>
    <row r="769">
      <c r="D769" s="2"/>
      <c r="E769" s="2"/>
      <c r="F769" s="2"/>
      <c r="I769" s="2"/>
      <c r="M769" s="2"/>
      <c r="S769" s="2"/>
      <c r="V769" s="2"/>
      <c r="AH769" s="90"/>
      <c r="AM769" s="90"/>
    </row>
    <row r="770">
      <c r="D770" s="2"/>
      <c r="E770" s="2"/>
      <c r="F770" s="2"/>
      <c r="I770" s="2"/>
      <c r="M770" s="2"/>
      <c r="S770" s="2"/>
      <c r="V770" s="2"/>
      <c r="AH770" s="90"/>
      <c r="AM770" s="90"/>
    </row>
    <row r="771">
      <c r="D771" s="2"/>
      <c r="E771" s="2"/>
      <c r="F771" s="2"/>
      <c r="I771" s="2"/>
      <c r="M771" s="2"/>
      <c r="S771" s="2"/>
      <c r="V771" s="2"/>
      <c r="AH771" s="90"/>
      <c r="AM771" s="90"/>
    </row>
    <row r="772">
      <c r="D772" s="2"/>
      <c r="E772" s="2"/>
      <c r="F772" s="2"/>
      <c r="I772" s="2"/>
      <c r="M772" s="2"/>
      <c r="S772" s="2"/>
      <c r="V772" s="2"/>
      <c r="AH772" s="90"/>
      <c r="AM772" s="90"/>
    </row>
    <row r="773">
      <c r="D773" s="2"/>
      <c r="E773" s="2"/>
      <c r="F773" s="2"/>
      <c r="I773" s="2"/>
      <c r="M773" s="2"/>
      <c r="S773" s="2"/>
      <c r="V773" s="2"/>
      <c r="AH773" s="90"/>
      <c r="AM773" s="90"/>
    </row>
    <row r="774">
      <c r="D774" s="2"/>
      <c r="E774" s="2"/>
      <c r="F774" s="2"/>
      <c r="I774" s="2"/>
      <c r="M774" s="2"/>
      <c r="S774" s="2"/>
      <c r="V774" s="2"/>
      <c r="AH774" s="90"/>
      <c r="AM774" s="90"/>
    </row>
    <row r="775">
      <c r="D775" s="2"/>
      <c r="E775" s="2"/>
      <c r="F775" s="2"/>
      <c r="I775" s="2"/>
      <c r="M775" s="2"/>
      <c r="S775" s="2"/>
      <c r="V775" s="2"/>
      <c r="AH775" s="90"/>
      <c r="AM775" s="90"/>
    </row>
    <row r="776">
      <c r="D776" s="2"/>
      <c r="E776" s="2"/>
      <c r="F776" s="2"/>
      <c r="I776" s="2"/>
      <c r="M776" s="2"/>
      <c r="S776" s="2"/>
      <c r="V776" s="2"/>
      <c r="AH776" s="90"/>
      <c r="AM776" s="90"/>
    </row>
    <row r="777">
      <c r="D777" s="2"/>
      <c r="E777" s="2"/>
      <c r="F777" s="2"/>
      <c r="I777" s="2"/>
      <c r="M777" s="2"/>
      <c r="S777" s="2"/>
      <c r="V777" s="2"/>
      <c r="AH777" s="90"/>
      <c r="AM777" s="90"/>
    </row>
    <row r="778">
      <c r="D778" s="2"/>
      <c r="E778" s="2"/>
      <c r="F778" s="2"/>
      <c r="I778" s="2"/>
      <c r="M778" s="2"/>
      <c r="S778" s="2"/>
      <c r="V778" s="2"/>
      <c r="AH778" s="90"/>
      <c r="AM778" s="90"/>
    </row>
    <row r="779">
      <c r="D779" s="2"/>
      <c r="E779" s="2"/>
      <c r="F779" s="2"/>
      <c r="I779" s="2"/>
      <c r="M779" s="2"/>
      <c r="S779" s="2"/>
      <c r="V779" s="2"/>
      <c r="AH779" s="90"/>
      <c r="AM779" s="90"/>
    </row>
    <row r="780">
      <c r="D780" s="2"/>
      <c r="E780" s="2"/>
      <c r="F780" s="2"/>
      <c r="I780" s="2"/>
      <c r="M780" s="2"/>
      <c r="S780" s="2"/>
      <c r="V780" s="2"/>
      <c r="AH780" s="90"/>
      <c r="AM780" s="90"/>
    </row>
    <row r="781">
      <c r="D781" s="2"/>
      <c r="E781" s="2"/>
      <c r="F781" s="2"/>
      <c r="I781" s="2"/>
      <c r="M781" s="2"/>
      <c r="S781" s="2"/>
      <c r="V781" s="2"/>
      <c r="AH781" s="90"/>
      <c r="AM781" s="90"/>
    </row>
    <row r="782">
      <c r="D782" s="2"/>
      <c r="E782" s="2"/>
      <c r="F782" s="2"/>
      <c r="I782" s="2"/>
      <c r="M782" s="2"/>
      <c r="S782" s="2"/>
      <c r="V782" s="2"/>
      <c r="AH782" s="90"/>
      <c r="AM782" s="90"/>
    </row>
    <row r="783">
      <c r="D783" s="2"/>
      <c r="E783" s="2"/>
      <c r="F783" s="2"/>
      <c r="I783" s="2"/>
      <c r="M783" s="2"/>
      <c r="S783" s="2"/>
      <c r="V783" s="2"/>
      <c r="AH783" s="90"/>
      <c r="AM783" s="90"/>
    </row>
    <row r="784">
      <c r="D784" s="2"/>
      <c r="E784" s="2"/>
      <c r="F784" s="2"/>
      <c r="I784" s="2"/>
      <c r="M784" s="2"/>
      <c r="S784" s="2"/>
      <c r="V784" s="2"/>
      <c r="AH784" s="90"/>
      <c r="AM784" s="90"/>
    </row>
    <row r="785">
      <c r="D785" s="2"/>
      <c r="E785" s="2"/>
      <c r="F785" s="2"/>
      <c r="I785" s="2"/>
      <c r="M785" s="2"/>
      <c r="S785" s="2"/>
      <c r="V785" s="2"/>
      <c r="AH785" s="90"/>
      <c r="AM785" s="90"/>
    </row>
    <row r="786">
      <c r="D786" s="2"/>
      <c r="E786" s="2"/>
      <c r="F786" s="2"/>
      <c r="I786" s="2"/>
      <c r="M786" s="2"/>
      <c r="S786" s="2"/>
      <c r="V786" s="2"/>
      <c r="AH786" s="90"/>
      <c r="AM786" s="90"/>
    </row>
    <row r="787">
      <c r="D787" s="2"/>
      <c r="E787" s="2"/>
      <c r="F787" s="2"/>
      <c r="I787" s="2"/>
      <c r="M787" s="2"/>
      <c r="S787" s="2"/>
      <c r="V787" s="2"/>
      <c r="AH787" s="90"/>
      <c r="AM787" s="90"/>
    </row>
    <row r="788">
      <c r="D788" s="2"/>
      <c r="E788" s="2"/>
      <c r="F788" s="2"/>
      <c r="I788" s="2"/>
      <c r="M788" s="2"/>
      <c r="S788" s="2"/>
      <c r="V788" s="2"/>
      <c r="AH788" s="90"/>
      <c r="AM788" s="90"/>
    </row>
    <row r="789">
      <c r="D789" s="2"/>
      <c r="E789" s="2"/>
      <c r="F789" s="2"/>
      <c r="I789" s="2"/>
      <c r="M789" s="2"/>
      <c r="S789" s="2"/>
      <c r="V789" s="2"/>
      <c r="AH789" s="90"/>
      <c r="AM789" s="90"/>
    </row>
    <row r="790">
      <c r="D790" s="2"/>
      <c r="E790" s="2"/>
      <c r="F790" s="2"/>
      <c r="I790" s="2"/>
      <c r="M790" s="2"/>
      <c r="S790" s="2"/>
      <c r="V790" s="2"/>
      <c r="AH790" s="90"/>
      <c r="AM790" s="90"/>
    </row>
    <row r="791">
      <c r="D791" s="2"/>
      <c r="E791" s="2"/>
      <c r="F791" s="2"/>
      <c r="I791" s="2"/>
      <c r="M791" s="2"/>
      <c r="S791" s="2"/>
      <c r="V791" s="2"/>
      <c r="AH791" s="90"/>
      <c r="AM791" s="90"/>
    </row>
    <row r="792">
      <c r="D792" s="2"/>
      <c r="E792" s="2"/>
      <c r="F792" s="2"/>
      <c r="I792" s="2"/>
      <c r="M792" s="2"/>
      <c r="S792" s="2"/>
      <c r="V792" s="2"/>
      <c r="AH792" s="90"/>
      <c r="AM792" s="90"/>
    </row>
    <row r="793">
      <c r="D793" s="2"/>
      <c r="E793" s="2"/>
      <c r="F793" s="2"/>
      <c r="I793" s="2"/>
      <c r="M793" s="2"/>
      <c r="S793" s="2"/>
      <c r="V793" s="2"/>
      <c r="AH793" s="90"/>
      <c r="AM793" s="90"/>
    </row>
    <row r="794">
      <c r="D794" s="2"/>
      <c r="E794" s="2"/>
      <c r="F794" s="2"/>
      <c r="I794" s="2"/>
      <c r="M794" s="2"/>
      <c r="S794" s="2"/>
      <c r="V794" s="2"/>
      <c r="AH794" s="90"/>
      <c r="AM794" s="90"/>
    </row>
    <row r="795">
      <c r="D795" s="2"/>
      <c r="E795" s="2"/>
      <c r="F795" s="2"/>
      <c r="I795" s="2"/>
      <c r="M795" s="2"/>
      <c r="S795" s="2"/>
      <c r="V795" s="2"/>
      <c r="AH795" s="90"/>
      <c r="AM795" s="90"/>
    </row>
    <row r="796">
      <c r="D796" s="2"/>
      <c r="E796" s="2"/>
      <c r="F796" s="2"/>
      <c r="I796" s="2"/>
      <c r="M796" s="2"/>
      <c r="S796" s="2"/>
      <c r="V796" s="2"/>
      <c r="AH796" s="90"/>
      <c r="AM796" s="90"/>
    </row>
    <row r="797">
      <c r="D797" s="2"/>
      <c r="E797" s="2"/>
      <c r="F797" s="2"/>
      <c r="I797" s="2"/>
      <c r="M797" s="2"/>
      <c r="S797" s="2"/>
      <c r="V797" s="2"/>
      <c r="AH797" s="90"/>
      <c r="AM797" s="90"/>
    </row>
    <row r="798">
      <c r="D798" s="2"/>
      <c r="E798" s="2"/>
      <c r="F798" s="2"/>
      <c r="I798" s="2"/>
      <c r="M798" s="2"/>
      <c r="S798" s="2"/>
      <c r="V798" s="2"/>
      <c r="AH798" s="90"/>
      <c r="AM798" s="90"/>
    </row>
    <row r="799">
      <c r="D799" s="2"/>
      <c r="E799" s="2"/>
      <c r="F799" s="2"/>
      <c r="I799" s="2"/>
      <c r="M799" s="2"/>
      <c r="S799" s="2"/>
      <c r="V799" s="2"/>
      <c r="AH799" s="90"/>
      <c r="AM799" s="90"/>
    </row>
    <row r="800">
      <c r="D800" s="2"/>
      <c r="E800" s="2"/>
      <c r="F800" s="2"/>
      <c r="I800" s="2"/>
      <c r="M800" s="2"/>
      <c r="S800" s="2"/>
      <c r="V800" s="2"/>
      <c r="AH800" s="90"/>
      <c r="AM800" s="90"/>
    </row>
    <row r="801">
      <c r="D801" s="2"/>
      <c r="E801" s="2"/>
      <c r="F801" s="2"/>
      <c r="I801" s="2"/>
      <c r="M801" s="2"/>
      <c r="S801" s="2"/>
      <c r="V801" s="2"/>
      <c r="AH801" s="90"/>
      <c r="AM801" s="90"/>
    </row>
    <row r="802">
      <c r="D802" s="2"/>
      <c r="E802" s="2"/>
      <c r="F802" s="2"/>
      <c r="I802" s="2"/>
      <c r="M802" s="2"/>
      <c r="S802" s="2"/>
      <c r="V802" s="2"/>
      <c r="AH802" s="90"/>
      <c r="AM802" s="90"/>
    </row>
    <row r="803">
      <c r="D803" s="2"/>
      <c r="E803" s="2"/>
      <c r="F803" s="2"/>
      <c r="I803" s="2"/>
      <c r="M803" s="2"/>
      <c r="S803" s="2"/>
      <c r="V803" s="2"/>
      <c r="AH803" s="90"/>
      <c r="AM803" s="90"/>
    </row>
    <row r="804">
      <c r="D804" s="2"/>
      <c r="E804" s="2"/>
      <c r="F804" s="2"/>
      <c r="I804" s="2"/>
      <c r="M804" s="2"/>
      <c r="S804" s="2"/>
      <c r="V804" s="2"/>
      <c r="AH804" s="90"/>
      <c r="AM804" s="90"/>
    </row>
    <row r="805">
      <c r="D805" s="2"/>
      <c r="E805" s="2"/>
      <c r="F805" s="2"/>
      <c r="I805" s="2"/>
      <c r="M805" s="2"/>
      <c r="S805" s="2"/>
      <c r="V805" s="2"/>
      <c r="AH805" s="90"/>
      <c r="AM805" s="90"/>
    </row>
    <row r="806">
      <c r="D806" s="2"/>
      <c r="E806" s="2"/>
      <c r="F806" s="2"/>
      <c r="I806" s="2"/>
      <c r="M806" s="2"/>
      <c r="S806" s="2"/>
      <c r="V806" s="2"/>
      <c r="AH806" s="90"/>
      <c r="AM806" s="90"/>
    </row>
    <row r="807">
      <c r="D807" s="2"/>
      <c r="E807" s="2"/>
      <c r="F807" s="2"/>
      <c r="I807" s="2"/>
      <c r="M807" s="2"/>
      <c r="S807" s="2"/>
      <c r="V807" s="2"/>
      <c r="AH807" s="90"/>
      <c r="AM807" s="90"/>
    </row>
    <row r="808">
      <c r="D808" s="2"/>
      <c r="E808" s="2"/>
      <c r="F808" s="2"/>
      <c r="I808" s="2"/>
      <c r="M808" s="2"/>
      <c r="S808" s="2"/>
      <c r="V808" s="2"/>
      <c r="AH808" s="90"/>
      <c r="AM808" s="90"/>
    </row>
    <row r="809">
      <c r="D809" s="2"/>
      <c r="E809" s="2"/>
      <c r="F809" s="2"/>
      <c r="I809" s="2"/>
      <c r="M809" s="2"/>
      <c r="S809" s="2"/>
      <c r="V809" s="2"/>
      <c r="AH809" s="90"/>
      <c r="AM809" s="90"/>
    </row>
    <row r="810">
      <c r="D810" s="2"/>
      <c r="E810" s="2"/>
      <c r="F810" s="2"/>
      <c r="I810" s="2"/>
      <c r="M810" s="2"/>
      <c r="S810" s="2"/>
      <c r="V810" s="2"/>
      <c r="AH810" s="90"/>
      <c r="AM810" s="90"/>
    </row>
    <row r="811">
      <c r="D811" s="2"/>
      <c r="E811" s="2"/>
      <c r="F811" s="2"/>
      <c r="I811" s="2"/>
      <c r="M811" s="2"/>
      <c r="S811" s="2"/>
      <c r="V811" s="2"/>
      <c r="AH811" s="90"/>
      <c r="AM811" s="90"/>
    </row>
    <row r="812">
      <c r="D812" s="2"/>
      <c r="E812" s="2"/>
      <c r="F812" s="2"/>
      <c r="I812" s="2"/>
      <c r="M812" s="2"/>
      <c r="S812" s="2"/>
      <c r="V812" s="2"/>
      <c r="AH812" s="90"/>
      <c r="AM812" s="90"/>
    </row>
    <row r="813">
      <c r="D813" s="2"/>
      <c r="E813" s="2"/>
      <c r="F813" s="2"/>
      <c r="I813" s="2"/>
      <c r="M813" s="2"/>
      <c r="S813" s="2"/>
      <c r="V813" s="2"/>
      <c r="AH813" s="90"/>
      <c r="AM813" s="90"/>
    </row>
    <row r="814">
      <c r="D814" s="2"/>
      <c r="E814" s="2"/>
      <c r="F814" s="2"/>
      <c r="I814" s="2"/>
      <c r="M814" s="2"/>
      <c r="S814" s="2"/>
      <c r="V814" s="2"/>
      <c r="AH814" s="90"/>
      <c r="AM814" s="90"/>
    </row>
    <row r="815">
      <c r="D815" s="2"/>
      <c r="E815" s="2"/>
      <c r="F815" s="2"/>
      <c r="I815" s="2"/>
      <c r="M815" s="2"/>
      <c r="S815" s="2"/>
      <c r="V815" s="2"/>
      <c r="AH815" s="90"/>
      <c r="AM815" s="90"/>
    </row>
    <row r="816">
      <c r="D816" s="2"/>
      <c r="E816" s="2"/>
      <c r="F816" s="2"/>
      <c r="I816" s="2"/>
      <c r="M816" s="2"/>
      <c r="S816" s="2"/>
      <c r="V816" s="2"/>
      <c r="AH816" s="90"/>
      <c r="AM816" s="90"/>
    </row>
    <row r="817">
      <c r="D817" s="2"/>
      <c r="E817" s="2"/>
      <c r="F817" s="2"/>
      <c r="I817" s="2"/>
      <c r="M817" s="2"/>
      <c r="S817" s="2"/>
      <c r="V817" s="2"/>
      <c r="AH817" s="90"/>
      <c r="AM817" s="90"/>
    </row>
    <row r="818">
      <c r="D818" s="2"/>
      <c r="E818" s="2"/>
      <c r="F818" s="2"/>
      <c r="I818" s="2"/>
      <c r="M818" s="2"/>
      <c r="S818" s="2"/>
      <c r="V818" s="2"/>
      <c r="AH818" s="90"/>
      <c r="AM818" s="90"/>
    </row>
    <row r="819">
      <c r="D819" s="2"/>
      <c r="E819" s="2"/>
      <c r="F819" s="2"/>
      <c r="I819" s="2"/>
      <c r="M819" s="2"/>
      <c r="S819" s="2"/>
      <c r="V819" s="2"/>
      <c r="AH819" s="90"/>
      <c r="AM819" s="90"/>
    </row>
    <row r="820">
      <c r="D820" s="2"/>
      <c r="E820" s="2"/>
      <c r="F820" s="2"/>
      <c r="I820" s="2"/>
      <c r="M820" s="2"/>
      <c r="S820" s="2"/>
      <c r="V820" s="2"/>
      <c r="AH820" s="90"/>
      <c r="AM820" s="90"/>
    </row>
    <row r="821">
      <c r="D821" s="2"/>
      <c r="E821" s="2"/>
      <c r="F821" s="2"/>
      <c r="I821" s="2"/>
      <c r="M821" s="2"/>
      <c r="S821" s="2"/>
      <c r="V821" s="2"/>
      <c r="AH821" s="90"/>
      <c r="AM821" s="90"/>
    </row>
    <row r="822">
      <c r="D822" s="2"/>
      <c r="E822" s="2"/>
      <c r="F822" s="2"/>
      <c r="I822" s="2"/>
      <c r="M822" s="2"/>
      <c r="S822" s="2"/>
      <c r="V822" s="2"/>
      <c r="AH822" s="90"/>
      <c r="AM822" s="90"/>
    </row>
    <row r="823">
      <c r="D823" s="2"/>
      <c r="E823" s="2"/>
      <c r="F823" s="2"/>
      <c r="I823" s="2"/>
      <c r="M823" s="2"/>
      <c r="S823" s="2"/>
      <c r="V823" s="2"/>
      <c r="AH823" s="90"/>
      <c r="AM823" s="90"/>
    </row>
    <row r="824">
      <c r="D824" s="2"/>
      <c r="E824" s="2"/>
      <c r="F824" s="2"/>
      <c r="I824" s="2"/>
      <c r="M824" s="2"/>
      <c r="S824" s="2"/>
      <c r="V824" s="2"/>
      <c r="AH824" s="90"/>
      <c r="AM824" s="90"/>
    </row>
    <row r="825">
      <c r="D825" s="2"/>
      <c r="E825" s="2"/>
      <c r="F825" s="2"/>
      <c r="I825" s="2"/>
      <c r="M825" s="2"/>
      <c r="S825" s="2"/>
      <c r="V825" s="2"/>
      <c r="AH825" s="90"/>
      <c r="AM825" s="90"/>
    </row>
    <row r="826">
      <c r="D826" s="2"/>
      <c r="E826" s="2"/>
      <c r="F826" s="2"/>
      <c r="I826" s="2"/>
      <c r="M826" s="2"/>
      <c r="S826" s="2"/>
      <c r="V826" s="2"/>
      <c r="AH826" s="90"/>
      <c r="AM826" s="90"/>
    </row>
    <row r="827">
      <c r="D827" s="2"/>
      <c r="E827" s="2"/>
      <c r="F827" s="2"/>
      <c r="I827" s="2"/>
      <c r="M827" s="2"/>
      <c r="S827" s="2"/>
      <c r="V827" s="2"/>
      <c r="AH827" s="90"/>
      <c r="AM827" s="90"/>
    </row>
    <row r="828">
      <c r="D828" s="2"/>
      <c r="E828" s="2"/>
      <c r="F828" s="2"/>
      <c r="I828" s="2"/>
      <c r="M828" s="2"/>
      <c r="S828" s="2"/>
      <c r="V828" s="2"/>
      <c r="AH828" s="90"/>
      <c r="AM828" s="90"/>
    </row>
    <row r="829">
      <c r="D829" s="2"/>
      <c r="E829" s="2"/>
      <c r="F829" s="2"/>
      <c r="I829" s="2"/>
      <c r="M829" s="2"/>
      <c r="S829" s="2"/>
      <c r="V829" s="2"/>
      <c r="AH829" s="90"/>
      <c r="AM829" s="90"/>
    </row>
    <row r="830">
      <c r="D830" s="2"/>
      <c r="E830" s="2"/>
      <c r="F830" s="2"/>
      <c r="I830" s="2"/>
      <c r="M830" s="2"/>
      <c r="S830" s="2"/>
      <c r="V830" s="2"/>
      <c r="AH830" s="90"/>
      <c r="AM830" s="90"/>
    </row>
    <row r="831">
      <c r="D831" s="2"/>
      <c r="E831" s="2"/>
      <c r="F831" s="2"/>
      <c r="I831" s="2"/>
      <c r="M831" s="2"/>
      <c r="S831" s="2"/>
      <c r="V831" s="2"/>
      <c r="AH831" s="90"/>
      <c r="AM831" s="90"/>
    </row>
    <row r="832">
      <c r="D832" s="2"/>
      <c r="E832" s="2"/>
      <c r="F832" s="2"/>
      <c r="I832" s="2"/>
      <c r="M832" s="2"/>
      <c r="S832" s="2"/>
      <c r="V832" s="2"/>
      <c r="AH832" s="90"/>
      <c r="AM832" s="90"/>
    </row>
    <row r="833">
      <c r="D833" s="2"/>
      <c r="E833" s="2"/>
      <c r="F833" s="2"/>
      <c r="I833" s="2"/>
      <c r="M833" s="2"/>
      <c r="S833" s="2"/>
      <c r="V833" s="2"/>
      <c r="AH833" s="90"/>
      <c r="AM833" s="90"/>
    </row>
    <row r="834">
      <c r="D834" s="2"/>
      <c r="E834" s="2"/>
      <c r="F834" s="2"/>
      <c r="I834" s="2"/>
      <c r="M834" s="2"/>
      <c r="S834" s="2"/>
      <c r="V834" s="2"/>
      <c r="AH834" s="90"/>
      <c r="AM834" s="90"/>
    </row>
    <row r="835">
      <c r="D835" s="2"/>
      <c r="E835" s="2"/>
      <c r="F835" s="2"/>
      <c r="I835" s="2"/>
      <c r="M835" s="2"/>
      <c r="S835" s="2"/>
      <c r="V835" s="2"/>
      <c r="AH835" s="90"/>
      <c r="AM835" s="90"/>
    </row>
    <row r="836">
      <c r="D836" s="2"/>
      <c r="E836" s="2"/>
      <c r="F836" s="2"/>
      <c r="I836" s="2"/>
      <c r="M836" s="2"/>
      <c r="S836" s="2"/>
      <c r="V836" s="2"/>
      <c r="AH836" s="90"/>
      <c r="AM836" s="90"/>
    </row>
    <row r="837">
      <c r="D837" s="2"/>
      <c r="E837" s="2"/>
      <c r="F837" s="2"/>
      <c r="I837" s="2"/>
      <c r="M837" s="2"/>
      <c r="S837" s="2"/>
      <c r="V837" s="2"/>
      <c r="AH837" s="90"/>
      <c r="AM837" s="90"/>
    </row>
    <row r="838">
      <c r="D838" s="2"/>
      <c r="E838" s="2"/>
      <c r="F838" s="2"/>
      <c r="I838" s="2"/>
      <c r="M838" s="2"/>
      <c r="S838" s="2"/>
      <c r="V838" s="2"/>
      <c r="AH838" s="90"/>
      <c r="AM838" s="90"/>
    </row>
    <row r="839">
      <c r="D839" s="2"/>
      <c r="E839" s="2"/>
      <c r="F839" s="2"/>
      <c r="I839" s="2"/>
      <c r="M839" s="2"/>
      <c r="S839" s="2"/>
      <c r="V839" s="2"/>
      <c r="AH839" s="90"/>
      <c r="AM839" s="90"/>
    </row>
    <row r="840">
      <c r="D840" s="2"/>
      <c r="E840" s="2"/>
      <c r="F840" s="2"/>
      <c r="I840" s="2"/>
      <c r="M840" s="2"/>
      <c r="S840" s="2"/>
      <c r="V840" s="2"/>
      <c r="AH840" s="90"/>
      <c r="AM840" s="90"/>
    </row>
    <row r="841">
      <c r="D841" s="2"/>
      <c r="E841" s="2"/>
      <c r="F841" s="2"/>
      <c r="I841" s="2"/>
      <c r="M841" s="2"/>
      <c r="S841" s="2"/>
      <c r="V841" s="2"/>
      <c r="AH841" s="90"/>
      <c r="AM841" s="90"/>
    </row>
    <row r="842">
      <c r="D842" s="2"/>
      <c r="E842" s="2"/>
      <c r="F842" s="2"/>
      <c r="I842" s="2"/>
      <c r="M842" s="2"/>
      <c r="S842" s="2"/>
      <c r="V842" s="2"/>
      <c r="AH842" s="90"/>
      <c r="AM842" s="90"/>
    </row>
    <row r="843">
      <c r="D843" s="2"/>
      <c r="E843" s="2"/>
      <c r="F843" s="2"/>
      <c r="I843" s="2"/>
      <c r="M843" s="2"/>
      <c r="S843" s="2"/>
      <c r="V843" s="2"/>
      <c r="AH843" s="90"/>
      <c r="AM843" s="90"/>
    </row>
    <row r="844">
      <c r="D844" s="2"/>
      <c r="E844" s="2"/>
      <c r="F844" s="2"/>
      <c r="I844" s="2"/>
      <c r="M844" s="2"/>
      <c r="S844" s="2"/>
      <c r="V844" s="2"/>
      <c r="AH844" s="90"/>
      <c r="AM844" s="90"/>
    </row>
    <row r="845">
      <c r="D845" s="2"/>
      <c r="E845" s="2"/>
      <c r="F845" s="2"/>
      <c r="I845" s="2"/>
      <c r="M845" s="2"/>
      <c r="S845" s="2"/>
      <c r="V845" s="2"/>
      <c r="AH845" s="90"/>
      <c r="AM845" s="90"/>
    </row>
    <row r="846">
      <c r="D846" s="2"/>
      <c r="E846" s="2"/>
      <c r="F846" s="2"/>
      <c r="I846" s="2"/>
      <c r="M846" s="2"/>
      <c r="S846" s="2"/>
      <c r="V846" s="2"/>
      <c r="AH846" s="90"/>
      <c r="AM846" s="90"/>
    </row>
    <row r="847">
      <c r="D847" s="2"/>
      <c r="E847" s="2"/>
      <c r="F847" s="2"/>
      <c r="I847" s="2"/>
      <c r="M847" s="2"/>
      <c r="S847" s="2"/>
      <c r="V847" s="2"/>
      <c r="AH847" s="90"/>
      <c r="AM847" s="90"/>
    </row>
    <row r="848">
      <c r="D848" s="2"/>
      <c r="E848" s="2"/>
      <c r="F848" s="2"/>
      <c r="I848" s="2"/>
      <c r="M848" s="2"/>
      <c r="S848" s="2"/>
      <c r="V848" s="2"/>
      <c r="AH848" s="90"/>
      <c r="AM848" s="90"/>
    </row>
    <row r="849">
      <c r="D849" s="2"/>
      <c r="E849" s="2"/>
      <c r="F849" s="2"/>
      <c r="I849" s="2"/>
      <c r="M849" s="2"/>
      <c r="S849" s="2"/>
      <c r="V849" s="2"/>
      <c r="AH849" s="90"/>
      <c r="AM849" s="90"/>
    </row>
    <row r="850">
      <c r="D850" s="2"/>
      <c r="E850" s="2"/>
      <c r="F850" s="2"/>
      <c r="I850" s="2"/>
      <c r="M850" s="2"/>
      <c r="S850" s="2"/>
      <c r="V850" s="2"/>
      <c r="AH850" s="90"/>
      <c r="AM850" s="90"/>
    </row>
    <row r="851">
      <c r="D851" s="2"/>
      <c r="E851" s="2"/>
      <c r="F851" s="2"/>
      <c r="I851" s="2"/>
      <c r="M851" s="2"/>
      <c r="S851" s="2"/>
      <c r="V851" s="2"/>
      <c r="AH851" s="90"/>
      <c r="AM851" s="90"/>
    </row>
    <row r="852">
      <c r="D852" s="2"/>
      <c r="E852" s="2"/>
      <c r="F852" s="2"/>
      <c r="I852" s="2"/>
      <c r="M852" s="2"/>
      <c r="S852" s="2"/>
      <c r="V852" s="2"/>
      <c r="AH852" s="90"/>
      <c r="AM852" s="90"/>
    </row>
    <row r="853">
      <c r="D853" s="2"/>
      <c r="E853" s="2"/>
      <c r="F853" s="2"/>
      <c r="I853" s="2"/>
      <c r="M853" s="2"/>
      <c r="S853" s="2"/>
      <c r="V853" s="2"/>
      <c r="AH853" s="90"/>
      <c r="AM853" s="90"/>
    </row>
    <row r="854">
      <c r="D854" s="2"/>
      <c r="E854" s="2"/>
      <c r="F854" s="2"/>
      <c r="I854" s="2"/>
      <c r="M854" s="2"/>
      <c r="S854" s="2"/>
      <c r="V854" s="2"/>
      <c r="AH854" s="90"/>
      <c r="AM854" s="90"/>
    </row>
    <row r="855">
      <c r="D855" s="2"/>
      <c r="E855" s="2"/>
      <c r="F855" s="2"/>
      <c r="I855" s="2"/>
      <c r="M855" s="2"/>
      <c r="S855" s="2"/>
      <c r="V855" s="2"/>
      <c r="AH855" s="90"/>
      <c r="AM855" s="90"/>
    </row>
    <row r="856">
      <c r="D856" s="2"/>
      <c r="E856" s="2"/>
      <c r="F856" s="2"/>
      <c r="I856" s="2"/>
      <c r="M856" s="2"/>
      <c r="S856" s="2"/>
      <c r="V856" s="2"/>
      <c r="AH856" s="90"/>
      <c r="AM856" s="90"/>
    </row>
    <row r="857">
      <c r="D857" s="2"/>
      <c r="E857" s="2"/>
      <c r="F857" s="2"/>
      <c r="I857" s="2"/>
      <c r="M857" s="2"/>
      <c r="S857" s="2"/>
      <c r="V857" s="2"/>
      <c r="AH857" s="90"/>
      <c r="AM857" s="90"/>
    </row>
    <row r="858">
      <c r="D858" s="2"/>
      <c r="E858" s="2"/>
      <c r="F858" s="2"/>
      <c r="I858" s="2"/>
      <c r="M858" s="2"/>
      <c r="S858" s="2"/>
      <c r="V858" s="2"/>
      <c r="AH858" s="90"/>
      <c r="AM858" s="90"/>
    </row>
    <row r="859">
      <c r="D859" s="2"/>
      <c r="E859" s="2"/>
      <c r="F859" s="2"/>
      <c r="I859" s="2"/>
      <c r="M859" s="2"/>
      <c r="S859" s="2"/>
      <c r="V859" s="2"/>
      <c r="AH859" s="90"/>
      <c r="AM859" s="90"/>
    </row>
    <row r="860">
      <c r="D860" s="2"/>
      <c r="E860" s="2"/>
      <c r="F860" s="2"/>
      <c r="I860" s="2"/>
      <c r="M860" s="2"/>
      <c r="S860" s="2"/>
      <c r="V860" s="2"/>
      <c r="AH860" s="90"/>
      <c r="AM860" s="90"/>
    </row>
    <row r="861">
      <c r="D861" s="2"/>
      <c r="E861" s="2"/>
      <c r="F861" s="2"/>
      <c r="I861" s="2"/>
      <c r="M861" s="2"/>
      <c r="S861" s="2"/>
      <c r="V861" s="2"/>
      <c r="AH861" s="90"/>
      <c r="AM861" s="90"/>
    </row>
    <row r="862">
      <c r="D862" s="2"/>
      <c r="E862" s="2"/>
      <c r="F862" s="2"/>
      <c r="I862" s="2"/>
      <c r="M862" s="2"/>
      <c r="S862" s="2"/>
      <c r="V862" s="2"/>
      <c r="AH862" s="90"/>
      <c r="AM862" s="90"/>
    </row>
    <row r="863">
      <c r="D863" s="2"/>
      <c r="E863" s="2"/>
      <c r="F863" s="2"/>
      <c r="I863" s="2"/>
      <c r="M863" s="2"/>
      <c r="S863" s="2"/>
      <c r="V863" s="2"/>
      <c r="AH863" s="90"/>
      <c r="AM863" s="90"/>
    </row>
    <row r="864">
      <c r="D864" s="2"/>
      <c r="E864" s="2"/>
      <c r="F864" s="2"/>
      <c r="I864" s="2"/>
      <c r="M864" s="2"/>
      <c r="S864" s="2"/>
      <c r="V864" s="2"/>
      <c r="AH864" s="90"/>
      <c r="AM864" s="90"/>
    </row>
    <row r="865">
      <c r="D865" s="2"/>
      <c r="E865" s="2"/>
      <c r="F865" s="2"/>
      <c r="I865" s="2"/>
      <c r="M865" s="2"/>
      <c r="S865" s="2"/>
      <c r="V865" s="2"/>
      <c r="AH865" s="90"/>
      <c r="AM865" s="90"/>
    </row>
    <row r="866">
      <c r="D866" s="2"/>
      <c r="E866" s="2"/>
      <c r="F866" s="2"/>
      <c r="I866" s="2"/>
      <c r="M866" s="2"/>
      <c r="S866" s="2"/>
      <c r="V866" s="2"/>
      <c r="AH866" s="90"/>
      <c r="AM866" s="90"/>
    </row>
    <row r="867">
      <c r="D867" s="2"/>
      <c r="E867" s="2"/>
      <c r="F867" s="2"/>
      <c r="I867" s="2"/>
      <c r="M867" s="2"/>
      <c r="S867" s="2"/>
      <c r="V867" s="2"/>
      <c r="AH867" s="90"/>
      <c r="AM867" s="90"/>
    </row>
    <row r="868">
      <c r="D868" s="2"/>
      <c r="E868" s="2"/>
      <c r="F868" s="2"/>
      <c r="I868" s="2"/>
      <c r="M868" s="2"/>
      <c r="S868" s="2"/>
      <c r="V868" s="2"/>
      <c r="AH868" s="90"/>
      <c r="AM868" s="90"/>
    </row>
    <row r="869">
      <c r="D869" s="2"/>
      <c r="E869" s="2"/>
      <c r="F869" s="2"/>
      <c r="I869" s="2"/>
      <c r="M869" s="2"/>
      <c r="S869" s="2"/>
      <c r="V869" s="2"/>
      <c r="AH869" s="90"/>
      <c r="AM869" s="90"/>
    </row>
    <row r="870">
      <c r="D870" s="2"/>
      <c r="E870" s="2"/>
      <c r="F870" s="2"/>
      <c r="I870" s="2"/>
      <c r="M870" s="2"/>
      <c r="S870" s="2"/>
      <c r="V870" s="2"/>
      <c r="AH870" s="90"/>
      <c r="AM870" s="90"/>
    </row>
    <row r="871">
      <c r="D871" s="2"/>
      <c r="E871" s="2"/>
      <c r="F871" s="2"/>
      <c r="I871" s="2"/>
      <c r="M871" s="2"/>
      <c r="S871" s="2"/>
      <c r="V871" s="2"/>
      <c r="AH871" s="90"/>
      <c r="AM871" s="90"/>
    </row>
    <row r="872">
      <c r="D872" s="2"/>
      <c r="E872" s="2"/>
      <c r="F872" s="2"/>
      <c r="I872" s="2"/>
      <c r="M872" s="2"/>
      <c r="S872" s="2"/>
      <c r="V872" s="2"/>
      <c r="AH872" s="90"/>
      <c r="AM872" s="90"/>
    </row>
    <row r="873">
      <c r="D873" s="2"/>
      <c r="E873" s="2"/>
      <c r="F873" s="2"/>
      <c r="I873" s="2"/>
      <c r="M873" s="2"/>
      <c r="S873" s="2"/>
      <c r="V873" s="2"/>
      <c r="AH873" s="90"/>
      <c r="AM873" s="90"/>
    </row>
    <row r="874">
      <c r="D874" s="2"/>
      <c r="E874" s="2"/>
      <c r="F874" s="2"/>
      <c r="I874" s="2"/>
      <c r="M874" s="2"/>
      <c r="S874" s="2"/>
      <c r="V874" s="2"/>
      <c r="AH874" s="90"/>
      <c r="AM874" s="90"/>
    </row>
    <row r="875">
      <c r="D875" s="2"/>
      <c r="E875" s="2"/>
      <c r="F875" s="2"/>
      <c r="I875" s="2"/>
      <c r="M875" s="2"/>
      <c r="S875" s="2"/>
      <c r="V875" s="2"/>
      <c r="AH875" s="90"/>
      <c r="AM875" s="90"/>
    </row>
    <row r="876">
      <c r="D876" s="2"/>
      <c r="E876" s="2"/>
      <c r="F876" s="2"/>
      <c r="I876" s="2"/>
      <c r="M876" s="2"/>
      <c r="S876" s="2"/>
      <c r="V876" s="2"/>
      <c r="AH876" s="90"/>
      <c r="AM876" s="90"/>
    </row>
    <row r="877">
      <c r="D877" s="2"/>
      <c r="E877" s="2"/>
      <c r="F877" s="2"/>
      <c r="I877" s="2"/>
      <c r="M877" s="2"/>
      <c r="S877" s="2"/>
      <c r="V877" s="2"/>
      <c r="AH877" s="90"/>
      <c r="AM877" s="90"/>
    </row>
    <row r="878">
      <c r="D878" s="2"/>
      <c r="E878" s="2"/>
      <c r="F878" s="2"/>
      <c r="I878" s="2"/>
      <c r="M878" s="2"/>
      <c r="S878" s="2"/>
      <c r="V878" s="2"/>
      <c r="AH878" s="90"/>
      <c r="AM878" s="90"/>
    </row>
    <row r="879">
      <c r="D879" s="2"/>
      <c r="E879" s="2"/>
      <c r="F879" s="2"/>
      <c r="I879" s="2"/>
      <c r="M879" s="2"/>
      <c r="S879" s="2"/>
      <c r="V879" s="2"/>
      <c r="AH879" s="90"/>
      <c r="AM879" s="90"/>
    </row>
    <row r="880">
      <c r="D880" s="2"/>
      <c r="E880" s="2"/>
      <c r="F880" s="2"/>
      <c r="I880" s="2"/>
      <c r="M880" s="2"/>
      <c r="S880" s="2"/>
      <c r="V880" s="2"/>
      <c r="AH880" s="90"/>
      <c r="AM880" s="90"/>
    </row>
    <row r="881">
      <c r="D881" s="2"/>
      <c r="E881" s="2"/>
      <c r="F881" s="2"/>
      <c r="I881" s="2"/>
      <c r="M881" s="2"/>
      <c r="S881" s="2"/>
      <c r="V881" s="2"/>
      <c r="AH881" s="90"/>
      <c r="AM881" s="90"/>
    </row>
    <row r="882">
      <c r="D882" s="2"/>
      <c r="E882" s="2"/>
      <c r="F882" s="2"/>
      <c r="I882" s="2"/>
      <c r="M882" s="2"/>
      <c r="S882" s="2"/>
      <c r="V882" s="2"/>
      <c r="AH882" s="90"/>
      <c r="AM882" s="90"/>
    </row>
    <row r="883">
      <c r="D883" s="2"/>
      <c r="E883" s="2"/>
      <c r="F883" s="2"/>
      <c r="I883" s="2"/>
      <c r="M883" s="2"/>
      <c r="S883" s="2"/>
      <c r="V883" s="2"/>
      <c r="AH883" s="90"/>
      <c r="AM883" s="90"/>
    </row>
    <row r="884">
      <c r="D884" s="2"/>
      <c r="E884" s="2"/>
      <c r="F884" s="2"/>
      <c r="I884" s="2"/>
      <c r="M884" s="2"/>
      <c r="S884" s="2"/>
      <c r="V884" s="2"/>
      <c r="AH884" s="90"/>
      <c r="AM884" s="90"/>
    </row>
    <row r="885">
      <c r="D885" s="2"/>
      <c r="E885" s="2"/>
      <c r="F885" s="2"/>
      <c r="I885" s="2"/>
      <c r="M885" s="2"/>
      <c r="S885" s="2"/>
      <c r="V885" s="2"/>
      <c r="AH885" s="90"/>
      <c r="AM885" s="90"/>
    </row>
    <row r="886">
      <c r="D886" s="2"/>
      <c r="E886" s="2"/>
      <c r="F886" s="2"/>
      <c r="I886" s="2"/>
      <c r="M886" s="2"/>
      <c r="S886" s="2"/>
      <c r="V886" s="2"/>
      <c r="AH886" s="90"/>
      <c r="AM886" s="90"/>
    </row>
    <row r="887">
      <c r="D887" s="2"/>
      <c r="E887" s="2"/>
      <c r="F887" s="2"/>
      <c r="I887" s="2"/>
      <c r="M887" s="2"/>
      <c r="S887" s="2"/>
      <c r="V887" s="2"/>
      <c r="AH887" s="90"/>
      <c r="AM887" s="90"/>
    </row>
    <row r="888">
      <c r="D888" s="2"/>
      <c r="E888" s="2"/>
      <c r="F888" s="2"/>
      <c r="I888" s="2"/>
      <c r="M888" s="2"/>
      <c r="S888" s="2"/>
      <c r="V888" s="2"/>
      <c r="AH888" s="90"/>
      <c r="AM888" s="90"/>
    </row>
    <row r="889">
      <c r="D889" s="2"/>
      <c r="E889" s="2"/>
      <c r="F889" s="2"/>
      <c r="I889" s="2"/>
      <c r="M889" s="2"/>
      <c r="S889" s="2"/>
      <c r="V889" s="2"/>
      <c r="AH889" s="90"/>
      <c r="AM889" s="90"/>
    </row>
    <row r="890">
      <c r="D890" s="2"/>
      <c r="E890" s="2"/>
      <c r="F890" s="2"/>
      <c r="I890" s="2"/>
      <c r="M890" s="2"/>
      <c r="S890" s="2"/>
      <c r="V890" s="2"/>
      <c r="AH890" s="90"/>
      <c r="AM890" s="90"/>
    </row>
    <row r="891">
      <c r="D891" s="2"/>
      <c r="E891" s="2"/>
      <c r="F891" s="2"/>
      <c r="I891" s="2"/>
      <c r="M891" s="2"/>
      <c r="S891" s="2"/>
      <c r="V891" s="2"/>
      <c r="AH891" s="90"/>
      <c r="AM891" s="90"/>
    </row>
    <row r="892">
      <c r="D892" s="2"/>
      <c r="E892" s="2"/>
      <c r="F892" s="2"/>
      <c r="I892" s="2"/>
      <c r="M892" s="2"/>
      <c r="S892" s="2"/>
      <c r="V892" s="2"/>
      <c r="AH892" s="90"/>
      <c r="AM892" s="90"/>
    </row>
    <row r="893">
      <c r="D893" s="2"/>
      <c r="E893" s="2"/>
      <c r="F893" s="2"/>
      <c r="I893" s="2"/>
      <c r="M893" s="2"/>
      <c r="S893" s="2"/>
      <c r="V893" s="2"/>
      <c r="AH893" s="90"/>
      <c r="AM893" s="90"/>
    </row>
    <row r="894">
      <c r="D894" s="2"/>
      <c r="E894" s="2"/>
      <c r="F894" s="2"/>
      <c r="I894" s="2"/>
      <c r="M894" s="2"/>
      <c r="S894" s="2"/>
      <c r="V894" s="2"/>
      <c r="AH894" s="90"/>
      <c r="AM894" s="90"/>
    </row>
    <row r="895">
      <c r="D895" s="2"/>
      <c r="E895" s="2"/>
      <c r="F895" s="2"/>
      <c r="I895" s="2"/>
      <c r="M895" s="2"/>
      <c r="S895" s="2"/>
      <c r="V895" s="2"/>
      <c r="AH895" s="90"/>
      <c r="AM895" s="90"/>
    </row>
    <row r="896">
      <c r="D896" s="2"/>
      <c r="E896" s="2"/>
      <c r="F896" s="2"/>
      <c r="I896" s="2"/>
      <c r="M896" s="2"/>
      <c r="S896" s="2"/>
      <c r="V896" s="2"/>
      <c r="AH896" s="90"/>
      <c r="AM896" s="90"/>
    </row>
    <row r="897">
      <c r="D897" s="2"/>
      <c r="E897" s="2"/>
      <c r="F897" s="2"/>
      <c r="I897" s="2"/>
      <c r="M897" s="2"/>
      <c r="S897" s="2"/>
      <c r="V897" s="2"/>
      <c r="AH897" s="90"/>
      <c r="AM897" s="90"/>
    </row>
    <row r="898">
      <c r="D898" s="2"/>
      <c r="E898" s="2"/>
      <c r="F898" s="2"/>
      <c r="I898" s="2"/>
      <c r="M898" s="2"/>
      <c r="S898" s="2"/>
      <c r="V898" s="2"/>
      <c r="AH898" s="90"/>
      <c r="AM898" s="90"/>
    </row>
    <row r="899">
      <c r="D899" s="2"/>
      <c r="E899" s="2"/>
      <c r="F899" s="2"/>
      <c r="I899" s="2"/>
      <c r="M899" s="2"/>
      <c r="S899" s="2"/>
      <c r="V899" s="2"/>
      <c r="AH899" s="90"/>
      <c r="AM899" s="90"/>
    </row>
    <row r="900">
      <c r="D900" s="2"/>
      <c r="E900" s="2"/>
      <c r="F900" s="2"/>
      <c r="I900" s="2"/>
      <c r="M900" s="2"/>
      <c r="S900" s="2"/>
      <c r="V900" s="2"/>
      <c r="AH900" s="90"/>
      <c r="AM900" s="90"/>
    </row>
    <row r="901">
      <c r="D901" s="2"/>
      <c r="E901" s="2"/>
      <c r="F901" s="2"/>
      <c r="I901" s="2"/>
      <c r="M901" s="2"/>
      <c r="S901" s="2"/>
      <c r="V901" s="2"/>
      <c r="AH901" s="90"/>
      <c r="AM901" s="90"/>
    </row>
    <row r="902">
      <c r="D902" s="2"/>
      <c r="E902" s="2"/>
      <c r="F902" s="2"/>
      <c r="I902" s="2"/>
      <c r="M902" s="2"/>
      <c r="S902" s="2"/>
      <c r="V902" s="2"/>
      <c r="AH902" s="90"/>
      <c r="AM902" s="90"/>
    </row>
    <row r="903">
      <c r="D903" s="2"/>
      <c r="E903" s="2"/>
      <c r="F903" s="2"/>
      <c r="I903" s="2"/>
      <c r="M903" s="2"/>
      <c r="S903" s="2"/>
      <c r="V903" s="2"/>
      <c r="AH903" s="90"/>
      <c r="AM903" s="90"/>
    </row>
    <row r="904">
      <c r="D904" s="2"/>
      <c r="E904" s="2"/>
      <c r="F904" s="2"/>
      <c r="I904" s="2"/>
      <c r="M904" s="2"/>
      <c r="S904" s="2"/>
      <c r="V904" s="2"/>
      <c r="AH904" s="90"/>
      <c r="AM904" s="90"/>
    </row>
    <row r="905">
      <c r="D905" s="2"/>
      <c r="E905" s="2"/>
      <c r="F905" s="2"/>
      <c r="I905" s="2"/>
      <c r="M905" s="2"/>
      <c r="S905" s="2"/>
      <c r="V905" s="2"/>
      <c r="AH905" s="90"/>
      <c r="AM905" s="90"/>
    </row>
    <row r="906">
      <c r="D906" s="2"/>
      <c r="E906" s="2"/>
      <c r="F906" s="2"/>
      <c r="I906" s="2"/>
      <c r="M906" s="2"/>
      <c r="S906" s="2"/>
      <c r="V906" s="2"/>
      <c r="AH906" s="90"/>
      <c r="AM906" s="90"/>
    </row>
    <row r="907">
      <c r="D907" s="2"/>
      <c r="E907" s="2"/>
      <c r="F907" s="2"/>
      <c r="I907" s="2"/>
      <c r="M907" s="2"/>
      <c r="S907" s="2"/>
      <c r="V907" s="2"/>
      <c r="AH907" s="90"/>
      <c r="AM907" s="90"/>
    </row>
    <row r="908">
      <c r="D908" s="2"/>
      <c r="E908" s="2"/>
      <c r="F908" s="2"/>
      <c r="I908" s="2"/>
      <c r="M908" s="2"/>
      <c r="S908" s="2"/>
      <c r="V908" s="2"/>
      <c r="AH908" s="90"/>
      <c r="AM908" s="90"/>
    </row>
    <row r="909">
      <c r="D909" s="2"/>
      <c r="E909" s="2"/>
      <c r="F909" s="2"/>
      <c r="I909" s="2"/>
      <c r="M909" s="2"/>
      <c r="S909" s="2"/>
      <c r="V909" s="2"/>
      <c r="AH909" s="90"/>
      <c r="AM909" s="90"/>
    </row>
    <row r="910">
      <c r="D910" s="2"/>
      <c r="E910" s="2"/>
      <c r="F910" s="2"/>
      <c r="I910" s="2"/>
      <c r="M910" s="2"/>
      <c r="S910" s="2"/>
      <c r="V910" s="2"/>
      <c r="AH910" s="90"/>
      <c r="AM910" s="90"/>
    </row>
    <row r="911">
      <c r="D911" s="2"/>
      <c r="E911" s="2"/>
      <c r="F911" s="2"/>
      <c r="I911" s="2"/>
      <c r="M911" s="2"/>
      <c r="S911" s="2"/>
      <c r="V911" s="2"/>
      <c r="AH911" s="90"/>
      <c r="AM911" s="90"/>
    </row>
    <row r="912">
      <c r="D912" s="2"/>
      <c r="E912" s="2"/>
      <c r="F912" s="2"/>
      <c r="I912" s="2"/>
      <c r="M912" s="2"/>
      <c r="S912" s="2"/>
      <c r="V912" s="2"/>
      <c r="AH912" s="90"/>
      <c r="AM912" s="90"/>
    </row>
    <row r="913">
      <c r="D913" s="2"/>
      <c r="E913" s="2"/>
      <c r="F913" s="2"/>
      <c r="I913" s="2"/>
      <c r="M913" s="2"/>
      <c r="S913" s="2"/>
      <c r="V913" s="2"/>
      <c r="AH913" s="90"/>
      <c r="AM913" s="90"/>
    </row>
    <row r="914">
      <c r="D914" s="2"/>
      <c r="E914" s="2"/>
      <c r="F914" s="2"/>
      <c r="I914" s="2"/>
      <c r="M914" s="2"/>
      <c r="S914" s="2"/>
      <c r="V914" s="2"/>
      <c r="AH914" s="90"/>
      <c r="AM914" s="90"/>
    </row>
    <row r="915">
      <c r="D915" s="2"/>
      <c r="E915" s="2"/>
      <c r="F915" s="2"/>
      <c r="I915" s="2"/>
      <c r="M915" s="2"/>
      <c r="S915" s="2"/>
      <c r="V915" s="2"/>
      <c r="AH915" s="90"/>
      <c r="AM915" s="90"/>
    </row>
    <row r="916">
      <c r="D916" s="2"/>
      <c r="E916" s="2"/>
      <c r="F916" s="2"/>
      <c r="I916" s="2"/>
      <c r="M916" s="2"/>
      <c r="S916" s="2"/>
      <c r="V916" s="2"/>
      <c r="AH916" s="90"/>
      <c r="AM916" s="90"/>
    </row>
    <row r="917">
      <c r="D917" s="2"/>
      <c r="E917" s="2"/>
      <c r="F917" s="2"/>
      <c r="I917" s="2"/>
      <c r="M917" s="2"/>
      <c r="S917" s="2"/>
      <c r="V917" s="2"/>
      <c r="AH917" s="90"/>
      <c r="AM917" s="90"/>
    </row>
    <row r="918">
      <c r="D918" s="2"/>
      <c r="E918" s="2"/>
      <c r="F918" s="2"/>
      <c r="I918" s="2"/>
      <c r="M918" s="2"/>
      <c r="S918" s="2"/>
      <c r="V918" s="2"/>
      <c r="AH918" s="90"/>
      <c r="AM918" s="90"/>
    </row>
    <row r="919">
      <c r="D919" s="2"/>
      <c r="E919" s="2"/>
      <c r="F919" s="2"/>
      <c r="I919" s="2"/>
      <c r="M919" s="2"/>
      <c r="S919" s="2"/>
      <c r="V919" s="2"/>
      <c r="AH919" s="90"/>
      <c r="AM919" s="90"/>
    </row>
    <row r="920">
      <c r="D920" s="2"/>
      <c r="E920" s="2"/>
      <c r="F920" s="2"/>
      <c r="I920" s="2"/>
      <c r="M920" s="2"/>
      <c r="S920" s="2"/>
      <c r="V920" s="2"/>
      <c r="AH920" s="90"/>
      <c r="AM920" s="90"/>
    </row>
    <row r="921">
      <c r="D921" s="2"/>
      <c r="E921" s="2"/>
      <c r="F921" s="2"/>
      <c r="I921" s="2"/>
      <c r="M921" s="2"/>
      <c r="S921" s="2"/>
      <c r="V921" s="2"/>
      <c r="AH921" s="90"/>
      <c r="AM921" s="90"/>
    </row>
    <row r="922">
      <c r="D922" s="2"/>
      <c r="E922" s="2"/>
      <c r="F922" s="2"/>
      <c r="I922" s="2"/>
      <c r="M922" s="2"/>
      <c r="S922" s="2"/>
      <c r="V922" s="2"/>
      <c r="AH922" s="90"/>
      <c r="AM922" s="90"/>
    </row>
    <row r="923">
      <c r="D923" s="2"/>
      <c r="E923" s="2"/>
      <c r="F923" s="2"/>
      <c r="I923" s="2"/>
      <c r="M923" s="2"/>
      <c r="S923" s="2"/>
      <c r="V923" s="2"/>
      <c r="AH923" s="90"/>
      <c r="AM923" s="90"/>
    </row>
    <row r="924">
      <c r="D924" s="2"/>
      <c r="E924" s="2"/>
      <c r="F924" s="2"/>
      <c r="I924" s="2"/>
      <c r="M924" s="2"/>
      <c r="S924" s="2"/>
      <c r="V924" s="2"/>
      <c r="AH924" s="90"/>
      <c r="AM924" s="90"/>
    </row>
    <row r="925">
      <c r="D925" s="2"/>
      <c r="E925" s="2"/>
      <c r="F925" s="2"/>
      <c r="I925" s="2"/>
      <c r="M925" s="2"/>
      <c r="S925" s="2"/>
      <c r="V925" s="2"/>
      <c r="AH925" s="90"/>
      <c r="AM925" s="90"/>
    </row>
    <row r="926">
      <c r="D926" s="2"/>
      <c r="E926" s="2"/>
      <c r="F926" s="2"/>
      <c r="I926" s="2"/>
      <c r="M926" s="2"/>
      <c r="S926" s="2"/>
      <c r="V926" s="2"/>
      <c r="AH926" s="90"/>
      <c r="AM926" s="90"/>
    </row>
    <row r="927">
      <c r="D927" s="2"/>
      <c r="E927" s="2"/>
      <c r="F927" s="2"/>
      <c r="I927" s="2"/>
      <c r="M927" s="2"/>
      <c r="S927" s="2"/>
      <c r="V927" s="2"/>
      <c r="AH927" s="90"/>
      <c r="AM927" s="90"/>
    </row>
    <row r="928">
      <c r="D928" s="2"/>
      <c r="E928" s="2"/>
      <c r="F928" s="2"/>
      <c r="I928" s="2"/>
      <c r="M928" s="2"/>
      <c r="S928" s="2"/>
      <c r="V928" s="2"/>
      <c r="AH928" s="90"/>
      <c r="AM928" s="90"/>
    </row>
    <row r="929">
      <c r="D929" s="2"/>
      <c r="E929" s="2"/>
      <c r="F929" s="2"/>
      <c r="I929" s="2"/>
      <c r="M929" s="2"/>
      <c r="S929" s="2"/>
      <c r="V929" s="2"/>
      <c r="AH929" s="90"/>
      <c r="AM929" s="90"/>
    </row>
    <row r="930">
      <c r="D930" s="2"/>
      <c r="E930" s="2"/>
      <c r="F930" s="2"/>
      <c r="I930" s="2"/>
      <c r="M930" s="2"/>
      <c r="S930" s="2"/>
      <c r="V930" s="2"/>
      <c r="AH930" s="90"/>
      <c r="AM930" s="90"/>
    </row>
    <row r="931">
      <c r="D931" s="2"/>
      <c r="E931" s="2"/>
      <c r="F931" s="2"/>
      <c r="I931" s="2"/>
      <c r="M931" s="2"/>
      <c r="S931" s="2"/>
      <c r="V931" s="2"/>
      <c r="AH931" s="90"/>
      <c r="AM931" s="90"/>
    </row>
    <row r="932">
      <c r="D932" s="2"/>
      <c r="E932" s="2"/>
      <c r="F932" s="2"/>
      <c r="I932" s="2"/>
      <c r="M932" s="2"/>
      <c r="S932" s="2"/>
      <c r="V932" s="2"/>
      <c r="AH932" s="90"/>
      <c r="AM932" s="90"/>
    </row>
    <row r="933">
      <c r="D933" s="2"/>
      <c r="E933" s="2"/>
      <c r="F933" s="2"/>
      <c r="I933" s="2"/>
      <c r="M933" s="2"/>
      <c r="S933" s="2"/>
      <c r="V933" s="2"/>
      <c r="AH933" s="90"/>
      <c r="AM933" s="90"/>
    </row>
    <row r="934">
      <c r="D934" s="2"/>
      <c r="E934" s="2"/>
      <c r="F934" s="2"/>
      <c r="I934" s="2"/>
      <c r="M934" s="2"/>
      <c r="S934" s="2"/>
      <c r="V934" s="2"/>
      <c r="AH934" s="90"/>
      <c r="AM934" s="90"/>
    </row>
    <row r="935">
      <c r="D935" s="2"/>
      <c r="E935" s="2"/>
      <c r="F935" s="2"/>
      <c r="I935" s="2"/>
      <c r="M935" s="2"/>
      <c r="S935" s="2"/>
      <c r="V935" s="2"/>
      <c r="AH935" s="90"/>
      <c r="AM935" s="90"/>
    </row>
    <row r="936">
      <c r="D936" s="2"/>
      <c r="E936" s="2"/>
      <c r="F936" s="2"/>
      <c r="I936" s="2"/>
      <c r="M936" s="2"/>
      <c r="S936" s="2"/>
      <c r="V936" s="2"/>
      <c r="AH936" s="90"/>
      <c r="AM936" s="90"/>
    </row>
    <row r="937">
      <c r="D937" s="2"/>
      <c r="E937" s="2"/>
      <c r="F937" s="2"/>
      <c r="I937" s="2"/>
      <c r="M937" s="2"/>
      <c r="S937" s="2"/>
      <c r="V937" s="2"/>
      <c r="AH937" s="90"/>
      <c r="AM937" s="90"/>
    </row>
    <row r="938">
      <c r="D938" s="2"/>
      <c r="E938" s="2"/>
      <c r="F938" s="2"/>
      <c r="I938" s="2"/>
      <c r="M938" s="2"/>
      <c r="S938" s="2"/>
      <c r="V938" s="2"/>
      <c r="AH938" s="90"/>
      <c r="AM938" s="90"/>
    </row>
    <row r="939">
      <c r="D939" s="2"/>
      <c r="E939" s="2"/>
      <c r="F939" s="2"/>
      <c r="I939" s="2"/>
      <c r="M939" s="2"/>
      <c r="S939" s="2"/>
      <c r="V939" s="2"/>
      <c r="AH939" s="90"/>
      <c r="AM939" s="90"/>
    </row>
    <row r="940">
      <c r="D940" s="2"/>
      <c r="E940" s="2"/>
      <c r="F940" s="2"/>
      <c r="I940" s="2"/>
      <c r="M940" s="2"/>
      <c r="S940" s="2"/>
      <c r="V940" s="2"/>
      <c r="AH940" s="90"/>
      <c r="AM940" s="90"/>
    </row>
    <row r="941">
      <c r="D941" s="2"/>
      <c r="E941" s="2"/>
      <c r="F941" s="2"/>
      <c r="I941" s="2"/>
      <c r="M941" s="2"/>
      <c r="S941" s="2"/>
      <c r="V941" s="2"/>
      <c r="AH941" s="90"/>
      <c r="AM941" s="90"/>
    </row>
    <row r="942">
      <c r="D942" s="2"/>
      <c r="E942" s="2"/>
      <c r="F942" s="2"/>
      <c r="I942" s="2"/>
      <c r="M942" s="2"/>
      <c r="S942" s="2"/>
      <c r="V942" s="2"/>
      <c r="AH942" s="90"/>
      <c r="AM942" s="90"/>
    </row>
    <row r="943">
      <c r="D943" s="2"/>
      <c r="E943" s="2"/>
      <c r="F943" s="2"/>
      <c r="I943" s="2"/>
      <c r="M943" s="2"/>
      <c r="S943" s="2"/>
      <c r="V943" s="2"/>
      <c r="AH943" s="90"/>
      <c r="AM943" s="90"/>
    </row>
    <row r="944">
      <c r="D944" s="2"/>
      <c r="E944" s="2"/>
      <c r="F944" s="2"/>
      <c r="I944" s="2"/>
      <c r="M944" s="2"/>
      <c r="S944" s="2"/>
      <c r="V944" s="2"/>
      <c r="AH944" s="90"/>
      <c r="AM944" s="90"/>
    </row>
    <row r="945">
      <c r="D945" s="2"/>
      <c r="E945" s="2"/>
      <c r="F945" s="2"/>
      <c r="I945" s="2"/>
      <c r="M945" s="2"/>
      <c r="S945" s="2"/>
      <c r="V945" s="2"/>
      <c r="AH945" s="90"/>
      <c r="AM945" s="90"/>
    </row>
    <row r="946">
      <c r="D946" s="2"/>
      <c r="E946" s="2"/>
      <c r="F946" s="2"/>
      <c r="I946" s="2"/>
      <c r="M946" s="2"/>
      <c r="S946" s="2"/>
      <c r="V946" s="2"/>
      <c r="AH946" s="90"/>
      <c r="AM946" s="90"/>
    </row>
    <row r="947">
      <c r="D947" s="2"/>
      <c r="E947" s="2"/>
      <c r="F947" s="2"/>
      <c r="I947" s="2"/>
      <c r="M947" s="2"/>
      <c r="S947" s="2"/>
      <c r="V947" s="2"/>
      <c r="AH947" s="90"/>
      <c r="AM947" s="90"/>
    </row>
    <row r="948">
      <c r="D948" s="2"/>
      <c r="E948" s="2"/>
      <c r="F948" s="2"/>
      <c r="I948" s="2"/>
      <c r="M948" s="2"/>
      <c r="S948" s="2"/>
      <c r="V948" s="2"/>
      <c r="AH948" s="90"/>
      <c r="AM948" s="90"/>
    </row>
    <row r="949">
      <c r="D949" s="2"/>
      <c r="E949" s="2"/>
      <c r="F949" s="2"/>
      <c r="I949" s="2"/>
      <c r="M949" s="2"/>
      <c r="S949" s="2"/>
      <c r="V949" s="2"/>
      <c r="AH949" s="90"/>
      <c r="AM949" s="90"/>
    </row>
    <row r="950">
      <c r="D950" s="2"/>
      <c r="E950" s="2"/>
      <c r="F950" s="2"/>
      <c r="I950" s="2"/>
      <c r="M950" s="2"/>
      <c r="S950" s="2"/>
      <c r="V950" s="2"/>
      <c r="AH950" s="90"/>
      <c r="AM950" s="90"/>
    </row>
    <row r="951">
      <c r="D951" s="2"/>
      <c r="E951" s="2"/>
      <c r="F951" s="2"/>
      <c r="I951" s="2"/>
      <c r="M951" s="2"/>
      <c r="S951" s="2"/>
      <c r="V951" s="2"/>
      <c r="AH951" s="90"/>
      <c r="AM951" s="90"/>
    </row>
    <row r="952">
      <c r="D952" s="2"/>
      <c r="E952" s="2"/>
      <c r="F952" s="2"/>
      <c r="I952" s="2"/>
      <c r="M952" s="2"/>
      <c r="S952" s="2"/>
      <c r="V952" s="2"/>
      <c r="AH952" s="90"/>
      <c r="AM952" s="90"/>
    </row>
    <row r="953">
      <c r="D953" s="2"/>
      <c r="E953" s="2"/>
      <c r="F953" s="2"/>
      <c r="I953" s="2"/>
      <c r="M953" s="2"/>
      <c r="S953" s="2"/>
      <c r="V953" s="2"/>
      <c r="AH953" s="90"/>
      <c r="AM953" s="90"/>
    </row>
    <row r="954">
      <c r="D954" s="2"/>
      <c r="E954" s="2"/>
      <c r="F954" s="2"/>
      <c r="I954" s="2"/>
      <c r="M954" s="2"/>
      <c r="S954" s="2"/>
      <c r="V954" s="2"/>
      <c r="AH954" s="90"/>
      <c r="AM954" s="90"/>
    </row>
    <row r="955">
      <c r="D955" s="2"/>
      <c r="E955" s="2"/>
      <c r="F955" s="2"/>
      <c r="I955" s="2"/>
      <c r="M955" s="2"/>
      <c r="S955" s="2"/>
      <c r="V955" s="2"/>
      <c r="AH955" s="90"/>
      <c r="AM955" s="90"/>
    </row>
    <row r="956">
      <c r="D956" s="2"/>
      <c r="E956" s="2"/>
      <c r="F956" s="2"/>
      <c r="I956" s="2"/>
      <c r="M956" s="2"/>
      <c r="S956" s="2"/>
      <c r="V956" s="2"/>
      <c r="AH956" s="90"/>
      <c r="AM956" s="90"/>
    </row>
    <row r="957">
      <c r="D957" s="2"/>
      <c r="E957" s="2"/>
      <c r="F957" s="2"/>
      <c r="I957" s="2"/>
      <c r="M957" s="2"/>
      <c r="S957" s="2"/>
      <c r="V957" s="2"/>
      <c r="AH957" s="90"/>
      <c r="AM957" s="90"/>
    </row>
    <row r="958">
      <c r="D958" s="2"/>
      <c r="E958" s="2"/>
      <c r="F958" s="2"/>
      <c r="I958" s="2"/>
      <c r="M958" s="2"/>
      <c r="S958" s="2"/>
      <c r="V958" s="2"/>
      <c r="AH958" s="90"/>
      <c r="AM958" s="90"/>
    </row>
    <row r="959">
      <c r="D959" s="2"/>
      <c r="E959" s="2"/>
      <c r="F959" s="2"/>
      <c r="I959" s="2"/>
      <c r="M959" s="2"/>
      <c r="S959" s="2"/>
      <c r="V959" s="2"/>
      <c r="AH959" s="90"/>
      <c r="AM959" s="90"/>
    </row>
    <row r="960">
      <c r="D960" s="2"/>
      <c r="E960" s="2"/>
      <c r="F960" s="2"/>
      <c r="I960" s="2"/>
      <c r="M960" s="2"/>
      <c r="S960" s="2"/>
      <c r="V960" s="2"/>
      <c r="AH960" s="90"/>
      <c r="AM960" s="90"/>
    </row>
    <row r="961">
      <c r="D961" s="2"/>
      <c r="E961" s="2"/>
      <c r="F961" s="2"/>
      <c r="I961" s="2"/>
      <c r="M961" s="2"/>
      <c r="S961" s="2"/>
      <c r="V961" s="2"/>
      <c r="AH961" s="90"/>
      <c r="AM961" s="90"/>
    </row>
    <row r="962">
      <c r="D962" s="2"/>
      <c r="E962" s="2"/>
      <c r="F962" s="2"/>
      <c r="I962" s="2"/>
      <c r="M962" s="2"/>
      <c r="S962" s="2"/>
      <c r="V962" s="2"/>
      <c r="AH962" s="90"/>
      <c r="AM962" s="90"/>
    </row>
    <row r="963">
      <c r="D963" s="2"/>
      <c r="E963" s="2"/>
      <c r="F963" s="2"/>
      <c r="I963" s="2"/>
      <c r="M963" s="2"/>
      <c r="S963" s="2"/>
      <c r="V963" s="2"/>
      <c r="AH963" s="90"/>
      <c r="AM963" s="90"/>
    </row>
    <row r="964">
      <c r="D964" s="2"/>
      <c r="E964" s="2"/>
      <c r="F964" s="2"/>
      <c r="I964" s="2"/>
      <c r="M964" s="2"/>
      <c r="S964" s="2"/>
      <c r="V964" s="2"/>
      <c r="AH964" s="90"/>
      <c r="AM964" s="90"/>
    </row>
    <row r="965">
      <c r="D965" s="2"/>
      <c r="E965" s="2"/>
      <c r="F965" s="2"/>
      <c r="I965" s="2"/>
      <c r="M965" s="2"/>
      <c r="S965" s="2"/>
      <c r="V965" s="2"/>
      <c r="AH965" s="90"/>
      <c r="AM965" s="90"/>
    </row>
    <row r="966">
      <c r="D966" s="2"/>
      <c r="E966" s="2"/>
      <c r="F966" s="2"/>
      <c r="I966" s="2"/>
      <c r="M966" s="2"/>
      <c r="S966" s="2"/>
      <c r="V966" s="2"/>
      <c r="AH966" s="90"/>
      <c r="AM966" s="90"/>
    </row>
    <row r="967">
      <c r="D967" s="2"/>
      <c r="E967" s="2"/>
      <c r="F967" s="2"/>
      <c r="I967" s="2"/>
      <c r="M967" s="2"/>
      <c r="S967" s="2"/>
      <c r="V967" s="2"/>
      <c r="AH967" s="90"/>
      <c r="AM967" s="90"/>
    </row>
    <row r="968">
      <c r="D968" s="2"/>
      <c r="E968" s="2"/>
      <c r="F968" s="2"/>
      <c r="I968" s="2"/>
      <c r="M968" s="2"/>
      <c r="S968" s="2"/>
      <c r="V968" s="2"/>
      <c r="AH968" s="90"/>
      <c r="AM968" s="90"/>
    </row>
    <row r="969">
      <c r="D969" s="2"/>
      <c r="E969" s="2"/>
      <c r="F969" s="2"/>
      <c r="I969" s="2"/>
      <c r="M969" s="2"/>
      <c r="S969" s="2"/>
      <c r="V969" s="2"/>
      <c r="AH969" s="90"/>
      <c r="AM969" s="90"/>
    </row>
    <row r="970">
      <c r="D970" s="2"/>
      <c r="E970" s="2"/>
      <c r="F970" s="2"/>
      <c r="I970" s="2"/>
      <c r="M970" s="2"/>
      <c r="S970" s="2"/>
      <c r="V970" s="2"/>
      <c r="AH970" s="90"/>
      <c r="AM970" s="90"/>
    </row>
    <row r="971">
      <c r="D971" s="2"/>
      <c r="E971" s="2"/>
      <c r="F971" s="2"/>
      <c r="I971" s="2"/>
      <c r="M971" s="2"/>
      <c r="S971" s="2"/>
      <c r="V971" s="2"/>
      <c r="AH971" s="90"/>
      <c r="AM971" s="90"/>
    </row>
    <row r="972">
      <c r="D972" s="2"/>
      <c r="E972" s="2"/>
      <c r="F972" s="2"/>
      <c r="I972" s="2"/>
      <c r="M972" s="2"/>
      <c r="S972" s="2"/>
      <c r="V972" s="2"/>
      <c r="AH972" s="90"/>
      <c r="AM972" s="90"/>
    </row>
    <row r="973">
      <c r="D973" s="2"/>
      <c r="E973" s="2"/>
      <c r="F973" s="2"/>
      <c r="I973" s="2"/>
      <c r="M973" s="2"/>
      <c r="S973" s="2"/>
      <c r="V973" s="2"/>
      <c r="AH973" s="90"/>
      <c r="AM973" s="90"/>
    </row>
    <row r="974">
      <c r="D974" s="2"/>
      <c r="E974" s="2"/>
      <c r="F974" s="2"/>
      <c r="I974" s="2"/>
      <c r="M974" s="2"/>
      <c r="S974" s="2"/>
      <c r="V974" s="2"/>
      <c r="AH974" s="90"/>
      <c r="AM974" s="90"/>
    </row>
    <row r="975">
      <c r="D975" s="2"/>
      <c r="E975" s="2"/>
      <c r="F975" s="2"/>
      <c r="I975" s="2"/>
      <c r="M975" s="2"/>
      <c r="S975" s="2"/>
      <c r="V975" s="2"/>
      <c r="AH975" s="90"/>
      <c r="AM975" s="90"/>
    </row>
    <row r="976">
      <c r="D976" s="2"/>
      <c r="E976" s="2"/>
      <c r="F976" s="2"/>
      <c r="I976" s="2"/>
      <c r="M976" s="2"/>
      <c r="S976" s="2"/>
      <c r="V976" s="2"/>
      <c r="AH976" s="90"/>
      <c r="AM976" s="90"/>
    </row>
    <row r="977">
      <c r="D977" s="2"/>
      <c r="E977" s="2"/>
      <c r="F977" s="2"/>
      <c r="I977" s="2"/>
      <c r="M977" s="2"/>
      <c r="S977" s="2"/>
      <c r="V977" s="2"/>
      <c r="AH977" s="90"/>
      <c r="AM977" s="90"/>
    </row>
    <row r="978">
      <c r="D978" s="2"/>
      <c r="E978" s="2"/>
      <c r="F978" s="2"/>
      <c r="I978" s="2"/>
      <c r="M978" s="2"/>
      <c r="S978" s="2"/>
      <c r="V978" s="2"/>
      <c r="AH978" s="90"/>
      <c r="AM978" s="90"/>
    </row>
    <row r="979">
      <c r="D979" s="2"/>
      <c r="E979" s="2"/>
      <c r="F979" s="2"/>
      <c r="I979" s="2"/>
      <c r="M979" s="2"/>
      <c r="S979" s="2"/>
      <c r="V979" s="2"/>
      <c r="AH979" s="90"/>
      <c r="AM979" s="90"/>
    </row>
    <row r="980">
      <c r="D980" s="2"/>
      <c r="E980" s="2"/>
      <c r="F980" s="2"/>
      <c r="I980" s="2"/>
      <c r="M980" s="2"/>
      <c r="S980" s="2"/>
      <c r="V980" s="2"/>
      <c r="AH980" s="90"/>
      <c r="AM980" s="90"/>
    </row>
    <row r="981">
      <c r="D981" s="2"/>
      <c r="E981" s="2"/>
      <c r="F981" s="2"/>
      <c r="I981" s="2"/>
      <c r="M981" s="2"/>
      <c r="S981" s="2"/>
      <c r="V981" s="2"/>
      <c r="AH981" s="90"/>
      <c r="AM981" s="90"/>
    </row>
    <row r="982">
      <c r="D982" s="2"/>
      <c r="E982" s="2"/>
      <c r="F982" s="2"/>
      <c r="I982" s="2"/>
      <c r="M982" s="2"/>
      <c r="S982" s="2"/>
      <c r="V982" s="2"/>
      <c r="AH982" s="90"/>
      <c r="AM982" s="90"/>
    </row>
    <row r="983">
      <c r="D983" s="2"/>
      <c r="E983" s="2"/>
      <c r="F983" s="2"/>
      <c r="I983" s="2"/>
      <c r="M983" s="2"/>
      <c r="S983" s="2"/>
      <c r="V983" s="2"/>
      <c r="AH983" s="90"/>
      <c r="AM983" s="90"/>
    </row>
    <row r="984">
      <c r="D984" s="2"/>
      <c r="E984" s="2"/>
      <c r="F984" s="2"/>
      <c r="I984" s="2"/>
      <c r="M984" s="2"/>
      <c r="S984" s="2"/>
      <c r="V984" s="2"/>
      <c r="AH984" s="90"/>
      <c r="AM984" s="90"/>
    </row>
    <row r="985">
      <c r="D985" s="2"/>
      <c r="E985" s="2"/>
      <c r="F985" s="2"/>
      <c r="I985" s="2"/>
      <c r="M985" s="2"/>
      <c r="S985" s="2"/>
      <c r="V985" s="2"/>
      <c r="AH985" s="90"/>
      <c r="AM985" s="90"/>
    </row>
    <row r="986">
      <c r="D986" s="2"/>
      <c r="E986" s="2"/>
      <c r="F986" s="2"/>
      <c r="I986" s="2"/>
      <c r="M986" s="2"/>
      <c r="S986" s="2"/>
      <c r="V986" s="2"/>
      <c r="AH986" s="90"/>
      <c r="AM986" s="90"/>
    </row>
    <row r="987">
      <c r="D987" s="2"/>
      <c r="E987" s="2"/>
      <c r="F987" s="2"/>
      <c r="I987" s="2"/>
      <c r="M987" s="2"/>
      <c r="S987" s="2"/>
      <c r="V987" s="2"/>
      <c r="AH987" s="90"/>
      <c r="AM987" s="90"/>
    </row>
    <row r="988">
      <c r="D988" s="2"/>
      <c r="E988" s="2"/>
      <c r="F988" s="2"/>
      <c r="I988" s="2"/>
      <c r="M988" s="2"/>
      <c r="S988" s="2"/>
      <c r="V988" s="2"/>
      <c r="AH988" s="90"/>
      <c r="AM988" s="90"/>
    </row>
    <row r="989">
      <c r="D989" s="2"/>
      <c r="E989" s="2"/>
      <c r="F989" s="2"/>
      <c r="I989" s="2"/>
      <c r="M989" s="2"/>
      <c r="S989" s="2"/>
      <c r="V989" s="2"/>
      <c r="AH989" s="90"/>
      <c r="AM989" s="90"/>
    </row>
    <row r="990">
      <c r="D990" s="2"/>
      <c r="E990" s="2"/>
      <c r="F990" s="2"/>
      <c r="I990" s="2"/>
      <c r="M990" s="2"/>
      <c r="S990" s="2"/>
      <c r="V990" s="2"/>
      <c r="AH990" s="90"/>
      <c r="AM990" s="90"/>
    </row>
    <row r="991">
      <c r="D991" s="2"/>
      <c r="E991" s="2"/>
      <c r="F991" s="2"/>
      <c r="I991" s="2"/>
      <c r="M991" s="2"/>
      <c r="S991" s="2"/>
      <c r="V991" s="2"/>
      <c r="AH991" s="90"/>
      <c r="AM991" s="90"/>
    </row>
    <row r="992">
      <c r="D992" s="2"/>
      <c r="E992" s="2"/>
      <c r="F992" s="2"/>
      <c r="I992" s="2"/>
      <c r="M992" s="2"/>
      <c r="S992" s="2"/>
      <c r="V992" s="2"/>
      <c r="AH992" s="90"/>
      <c r="AM992" s="90"/>
    </row>
    <row r="993">
      <c r="D993" s="2"/>
      <c r="E993" s="2"/>
      <c r="F993" s="2"/>
      <c r="I993" s="2"/>
      <c r="M993" s="2"/>
      <c r="S993" s="2"/>
      <c r="V993" s="2"/>
      <c r="AH993" s="90"/>
      <c r="AM993" s="90"/>
    </row>
    <row r="994">
      <c r="D994" s="2"/>
      <c r="E994" s="2"/>
      <c r="F994" s="2"/>
      <c r="I994" s="2"/>
      <c r="M994" s="2"/>
      <c r="S994" s="2"/>
      <c r="V994" s="2"/>
      <c r="AH994" s="90"/>
      <c r="AM994" s="90"/>
    </row>
    <row r="995">
      <c r="D995" s="2"/>
      <c r="E995" s="2"/>
      <c r="F995" s="2"/>
      <c r="I995" s="2"/>
      <c r="M995" s="2"/>
      <c r="S995" s="2"/>
      <c r="V995" s="2"/>
      <c r="AH995" s="90"/>
      <c r="AM995" s="90"/>
    </row>
    <row r="996">
      <c r="D996" s="2"/>
      <c r="E996" s="2"/>
      <c r="F996" s="2"/>
      <c r="I996" s="2"/>
      <c r="M996" s="2"/>
      <c r="S996" s="2"/>
      <c r="V996" s="2"/>
      <c r="AH996" s="90"/>
      <c r="AM996" s="90"/>
    </row>
    <row r="997">
      <c r="D997" s="2"/>
      <c r="E997" s="2"/>
      <c r="F997" s="2"/>
      <c r="I997" s="2"/>
      <c r="M997" s="2"/>
      <c r="S997" s="2"/>
      <c r="V997" s="2"/>
      <c r="AH997" s="90"/>
      <c r="AM997" s="90"/>
    </row>
    <row r="998">
      <c r="D998" s="2"/>
      <c r="E998" s="2"/>
      <c r="F998" s="2"/>
      <c r="I998" s="2"/>
      <c r="M998" s="2"/>
      <c r="S998" s="2"/>
      <c r="V998" s="2"/>
      <c r="AH998" s="90"/>
      <c r="AM998" s="90"/>
    </row>
    <row r="999">
      <c r="D999" s="2"/>
      <c r="E999" s="2"/>
      <c r="F999" s="2"/>
      <c r="I999" s="2"/>
      <c r="M999" s="2"/>
      <c r="S999" s="2"/>
      <c r="V999" s="2"/>
      <c r="AH999" s="90"/>
      <c r="AM999" s="90"/>
    </row>
    <row r="1000">
      <c r="D1000" s="2"/>
      <c r="E1000" s="2"/>
      <c r="F1000" s="2"/>
      <c r="I1000" s="2"/>
      <c r="M1000" s="2"/>
      <c r="S1000" s="2"/>
      <c r="V1000" s="2"/>
      <c r="AH1000" s="90"/>
      <c r="AM1000" s="90"/>
    </row>
    <row r="1001">
      <c r="D1001" s="2"/>
      <c r="E1001" s="2"/>
      <c r="F1001" s="2"/>
      <c r="I1001" s="2"/>
      <c r="M1001" s="2"/>
      <c r="S1001" s="2"/>
      <c r="V1001" s="2"/>
      <c r="AH1001" s="90"/>
      <c r="AM1001" s="90"/>
    </row>
  </sheetData>
  <mergeCells count="28">
    <mergeCell ref="W1:Z1"/>
    <mergeCell ref="AA1:AA2"/>
    <mergeCell ref="AB1:AC1"/>
    <mergeCell ref="AD1:AG1"/>
    <mergeCell ref="AI1:AL1"/>
    <mergeCell ref="AN1:AQ1"/>
    <mergeCell ref="X2:Y2"/>
    <mergeCell ref="W2:W3"/>
    <mergeCell ref="Z2:Z3"/>
    <mergeCell ref="AB3:AC3"/>
    <mergeCell ref="AB4:AC4"/>
    <mergeCell ref="W21:Z21"/>
    <mergeCell ref="AD45:AG45"/>
    <mergeCell ref="AI45:AJ45"/>
    <mergeCell ref="AD50:AE50"/>
    <mergeCell ref="G4:H5"/>
    <mergeCell ref="G6:H6"/>
    <mergeCell ref="O20:P20"/>
    <mergeCell ref="Q20:R20"/>
    <mergeCell ref="J22:K22"/>
    <mergeCell ref="L22:L23"/>
    <mergeCell ref="G1:H1"/>
    <mergeCell ref="J1:K1"/>
    <mergeCell ref="L1:L2"/>
    <mergeCell ref="N1:O1"/>
    <mergeCell ref="P1:Q2"/>
    <mergeCell ref="R1:R2"/>
    <mergeCell ref="T1:U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3" width="22.63"/>
    <col customWidth="1" min="4" max="4" width="29.63"/>
    <col customWidth="1" min="5" max="5" width="15.63"/>
    <col customWidth="1" min="6" max="6" width="4.75"/>
    <col customWidth="1" min="7" max="11" width="17.25"/>
  </cols>
  <sheetData>
    <row r="1" ht="36.0" customHeight="1">
      <c r="A1" s="206" t="s">
        <v>1</v>
      </c>
      <c r="B1" s="206" t="s">
        <v>116</v>
      </c>
      <c r="C1" s="206" t="s">
        <v>117</v>
      </c>
      <c r="D1" s="206" t="s">
        <v>118</v>
      </c>
      <c r="E1" s="206" t="s">
        <v>119</v>
      </c>
      <c r="F1" s="90"/>
      <c r="G1" s="206" t="s">
        <v>1</v>
      </c>
      <c r="H1" s="206" t="s">
        <v>116</v>
      </c>
      <c r="I1" s="206" t="s">
        <v>117</v>
      </c>
      <c r="J1" s="206" t="s">
        <v>118</v>
      </c>
      <c r="K1" s="206" t="s">
        <v>119</v>
      </c>
    </row>
    <row r="2" ht="22.5" customHeight="1">
      <c r="A2" s="207">
        <v>10896.97</v>
      </c>
      <c r="B2" s="208" t="s">
        <v>15</v>
      </c>
      <c r="C2" s="209"/>
      <c r="D2" s="210"/>
      <c r="E2" s="211">
        <v>45722.0</v>
      </c>
      <c r="F2" s="90"/>
      <c r="G2" s="212"/>
      <c r="H2" s="213"/>
      <c r="I2" s="214"/>
      <c r="J2" s="215"/>
      <c r="K2" s="216"/>
    </row>
    <row r="3" ht="22.5" customHeight="1">
      <c r="A3" s="207">
        <v>26200.0</v>
      </c>
      <c r="B3" s="208" t="s">
        <v>26</v>
      </c>
      <c r="C3" s="209"/>
      <c r="D3" s="217"/>
      <c r="E3" s="211">
        <v>45723.0</v>
      </c>
      <c r="F3" s="90"/>
    </row>
    <row r="4" ht="22.5" customHeight="1">
      <c r="A4" s="207">
        <v>252.597677</v>
      </c>
      <c r="B4" s="218" t="s">
        <v>120</v>
      </c>
      <c r="C4" s="209"/>
      <c r="D4" s="217"/>
      <c r="E4" s="211">
        <v>45724.0</v>
      </c>
      <c r="F4" s="90"/>
    </row>
    <row r="5" ht="22.5" customHeight="1">
      <c r="A5" s="207">
        <v>100000.0</v>
      </c>
      <c r="B5" s="218" t="s">
        <v>15</v>
      </c>
      <c r="C5" s="219" t="s">
        <v>121</v>
      </c>
      <c r="D5" s="220" t="s">
        <v>122</v>
      </c>
      <c r="E5" s="211">
        <v>45725.0</v>
      </c>
      <c r="F5" s="90"/>
    </row>
    <row r="6" ht="22.5" customHeight="1">
      <c r="A6" s="207">
        <v>100.0</v>
      </c>
      <c r="B6" s="218" t="s">
        <v>46</v>
      </c>
      <c r="C6" s="209"/>
      <c r="D6" s="210"/>
      <c r="E6" s="211">
        <v>45726.0</v>
      </c>
      <c r="F6" s="90"/>
    </row>
    <row r="7" ht="22.5" customHeight="1">
      <c r="A7" s="221">
        <v>630.352323</v>
      </c>
      <c r="B7" s="222" t="s">
        <v>35</v>
      </c>
      <c r="C7" s="223" t="s">
        <v>123</v>
      </c>
      <c r="D7" s="223" t="s">
        <v>124</v>
      </c>
      <c r="E7" s="211">
        <v>45727.0</v>
      </c>
      <c r="F7" s="90"/>
    </row>
    <row r="8" ht="22.5" customHeight="1">
      <c r="A8" s="221">
        <v>35000.0</v>
      </c>
      <c r="B8" s="224" t="s">
        <v>15</v>
      </c>
      <c r="C8" s="225" t="s">
        <v>125</v>
      </c>
      <c r="D8" s="223" t="s">
        <v>126</v>
      </c>
      <c r="E8" s="211">
        <v>45728.0</v>
      </c>
      <c r="F8" s="90"/>
    </row>
    <row r="9" ht="22.5" customHeight="1">
      <c r="A9" s="221">
        <v>3.0</v>
      </c>
      <c r="B9" s="224" t="s">
        <v>26</v>
      </c>
      <c r="C9" s="225" t="s">
        <v>123</v>
      </c>
      <c r="D9" s="223" t="s">
        <v>127</v>
      </c>
      <c r="E9" s="211">
        <v>45729.0</v>
      </c>
      <c r="F9" s="90"/>
    </row>
    <row r="10" ht="22.5" customHeight="1">
      <c r="A10" s="221">
        <v>77000.0</v>
      </c>
      <c r="B10" s="224" t="s">
        <v>15</v>
      </c>
      <c r="C10" s="225" t="s">
        <v>128</v>
      </c>
      <c r="D10" s="223" t="s">
        <v>129</v>
      </c>
      <c r="E10" s="211">
        <v>45730.0</v>
      </c>
      <c r="F10" s="90"/>
    </row>
    <row r="11" ht="22.5" customHeight="1">
      <c r="A11" s="221">
        <v>62.57</v>
      </c>
      <c r="B11" s="224" t="s">
        <v>15</v>
      </c>
      <c r="C11" s="225" t="s">
        <v>130</v>
      </c>
      <c r="D11" s="226"/>
      <c r="E11" s="211">
        <v>45731.0</v>
      </c>
      <c r="F11" s="90"/>
    </row>
    <row r="12" ht="22.5" customHeight="1">
      <c r="A12" s="221">
        <v>17.89</v>
      </c>
      <c r="B12" s="224" t="s">
        <v>15</v>
      </c>
      <c r="C12" s="225" t="s">
        <v>130</v>
      </c>
      <c r="D12" s="226"/>
      <c r="E12" s="211">
        <v>45732.0</v>
      </c>
      <c r="F12" s="90"/>
    </row>
    <row r="13" ht="22.5" customHeight="1">
      <c r="A13" s="221">
        <v>17.91</v>
      </c>
      <c r="B13" s="224" t="s">
        <v>15</v>
      </c>
      <c r="C13" s="225" t="s">
        <v>130</v>
      </c>
      <c r="D13" s="226"/>
      <c r="E13" s="211">
        <v>45733.0</v>
      </c>
      <c r="F13" s="90"/>
    </row>
    <row r="14" ht="22.5" customHeight="1">
      <c r="A14" s="221">
        <v>53.72</v>
      </c>
      <c r="B14" s="224" t="s">
        <v>15</v>
      </c>
      <c r="C14" s="225" t="s">
        <v>130</v>
      </c>
      <c r="D14" s="226"/>
      <c r="E14" s="211">
        <v>45734.0</v>
      </c>
      <c r="F14" s="90"/>
    </row>
    <row r="15" ht="22.5" customHeight="1">
      <c r="A15" s="221">
        <v>38000.0</v>
      </c>
      <c r="B15" s="224" t="s">
        <v>15</v>
      </c>
      <c r="C15" s="225" t="s">
        <v>128</v>
      </c>
      <c r="D15" s="223" t="s">
        <v>131</v>
      </c>
      <c r="E15" s="211">
        <v>45735.0</v>
      </c>
      <c r="F15" s="90"/>
    </row>
    <row r="16" ht="22.5" customHeight="1">
      <c r="A16" s="221">
        <v>50000.0</v>
      </c>
      <c r="B16" s="224" t="s">
        <v>15</v>
      </c>
      <c r="C16" s="225" t="s">
        <v>132</v>
      </c>
      <c r="D16" s="223" t="s">
        <v>133</v>
      </c>
      <c r="E16" s="211">
        <v>45736.0</v>
      </c>
      <c r="F16" s="90"/>
    </row>
    <row r="17" ht="22.5" customHeight="1">
      <c r="A17" s="221">
        <v>35000.0</v>
      </c>
      <c r="B17" s="224" t="s">
        <v>15</v>
      </c>
      <c r="C17" s="225" t="s">
        <v>132</v>
      </c>
      <c r="D17" s="223" t="s">
        <v>134</v>
      </c>
      <c r="E17" s="211">
        <v>45737.0</v>
      </c>
      <c r="F17" s="90"/>
    </row>
    <row r="18" ht="22.5" customHeight="1">
      <c r="A18" s="221">
        <v>35000.0</v>
      </c>
      <c r="B18" s="224" t="s">
        <v>15</v>
      </c>
      <c r="C18" s="225" t="s">
        <v>135</v>
      </c>
      <c r="D18" s="223" t="s">
        <v>136</v>
      </c>
      <c r="E18" s="211">
        <v>45738.0</v>
      </c>
      <c r="F18" s="90"/>
    </row>
    <row r="19" ht="22.5" customHeight="1">
      <c r="A19" s="221">
        <v>43110.0</v>
      </c>
      <c r="B19" s="224" t="s">
        <v>15</v>
      </c>
      <c r="C19" s="225" t="s">
        <v>128</v>
      </c>
      <c r="D19" s="223" t="s">
        <v>137</v>
      </c>
      <c r="E19" s="211">
        <v>45739.0</v>
      </c>
      <c r="F19" s="90"/>
    </row>
    <row r="20" ht="22.5" customHeight="1">
      <c r="A20" s="221">
        <v>600.0</v>
      </c>
      <c r="B20" s="224" t="s">
        <v>35</v>
      </c>
      <c r="C20" s="225" t="s">
        <v>123</v>
      </c>
      <c r="D20" s="223" t="s">
        <v>138</v>
      </c>
      <c r="E20" s="211">
        <v>45740.0</v>
      </c>
      <c r="F20" s="90"/>
    </row>
    <row r="21" ht="22.5" customHeight="1">
      <c r="A21" s="221">
        <v>50000.0</v>
      </c>
      <c r="B21" s="224" t="s">
        <v>26</v>
      </c>
      <c r="C21" s="225" t="s">
        <v>121</v>
      </c>
      <c r="D21" s="223" t="s">
        <v>139</v>
      </c>
      <c r="E21" s="211">
        <v>45753.0</v>
      </c>
      <c r="F21" s="90"/>
    </row>
    <row r="22" ht="22.5" customHeight="1">
      <c r="A22" s="221">
        <v>50000.0</v>
      </c>
      <c r="B22" s="224" t="s">
        <v>15</v>
      </c>
      <c r="C22" s="225" t="s">
        <v>121</v>
      </c>
      <c r="D22" s="223" t="s">
        <v>139</v>
      </c>
      <c r="E22" s="211">
        <v>45760.0</v>
      </c>
      <c r="F22" s="90"/>
    </row>
    <row r="23" ht="22.5" customHeight="1">
      <c r="A23" s="221">
        <v>9300.0</v>
      </c>
      <c r="B23" s="224" t="s">
        <v>15</v>
      </c>
      <c r="C23" s="225" t="s">
        <v>140</v>
      </c>
      <c r="D23" s="223" t="s">
        <v>141</v>
      </c>
      <c r="E23" s="211">
        <v>45760.0</v>
      </c>
      <c r="F23" s="90"/>
    </row>
    <row r="24" ht="22.5" customHeight="1">
      <c r="A24" s="221">
        <v>1736.71</v>
      </c>
      <c r="B24" s="224" t="s">
        <v>15</v>
      </c>
      <c r="C24" s="225" t="s">
        <v>130</v>
      </c>
      <c r="D24" s="226"/>
      <c r="E24" s="211">
        <v>45766.0</v>
      </c>
      <c r="F24" s="90"/>
    </row>
    <row r="25" ht="22.5" customHeight="1">
      <c r="A25" s="221">
        <v>15000.0</v>
      </c>
      <c r="B25" s="224" t="s">
        <v>15</v>
      </c>
      <c r="C25" s="227"/>
      <c r="D25" s="228" t="s">
        <v>142</v>
      </c>
      <c r="E25" s="211">
        <v>45766.0</v>
      </c>
      <c r="F25" s="90"/>
    </row>
    <row r="26" ht="22.5" customHeight="1">
      <c r="A26" s="221">
        <v>35000.0</v>
      </c>
      <c r="B26" s="224" t="s">
        <v>15</v>
      </c>
      <c r="C26" s="225" t="s">
        <v>132</v>
      </c>
      <c r="D26" s="223" t="s">
        <v>143</v>
      </c>
      <c r="E26" s="211">
        <v>45766.0</v>
      </c>
      <c r="F26" s="90"/>
    </row>
    <row r="27" ht="22.5" customHeight="1">
      <c r="A27" s="221">
        <v>77000.0</v>
      </c>
      <c r="B27" s="224" t="s">
        <v>15</v>
      </c>
      <c r="C27" s="225" t="s">
        <v>128</v>
      </c>
      <c r="D27" s="223" t="s">
        <v>144</v>
      </c>
      <c r="E27" s="211">
        <v>45768.0</v>
      </c>
      <c r="F27" s="90"/>
    </row>
    <row r="28" ht="22.5" customHeight="1">
      <c r="A28" s="221">
        <v>65000.0</v>
      </c>
      <c r="B28" s="224" t="s">
        <v>15</v>
      </c>
      <c r="C28" s="225" t="s">
        <v>145</v>
      </c>
      <c r="D28" s="228" t="s">
        <v>146</v>
      </c>
      <c r="E28" s="211">
        <v>45769.0</v>
      </c>
      <c r="F28" s="90"/>
    </row>
    <row r="29" ht="22.5" customHeight="1">
      <c r="A29" s="221">
        <v>523.28</v>
      </c>
      <c r="B29" s="224" t="s">
        <v>15</v>
      </c>
      <c r="C29" s="225" t="s">
        <v>130</v>
      </c>
      <c r="D29" s="226"/>
      <c r="E29" s="211">
        <v>45771.0</v>
      </c>
      <c r="F29" s="90"/>
    </row>
    <row r="30" ht="22.5" customHeight="1">
      <c r="A30" s="221">
        <v>77000.0</v>
      </c>
      <c r="B30" s="224" t="s">
        <v>15</v>
      </c>
      <c r="C30" s="225" t="s">
        <v>128</v>
      </c>
      <c r="D30" s="223" t="s">
        <v>147</v>
      </c>
      <c r="E30" s="211">
        <v>45773.0</v>
      </c>
      <c r="F30" s="90"/>
    </row>
    <row r="31" ht="22.5" customHeight="1">
      <c r="A31" s="221">
        <v>55000.0</v>
      </c>
      <c r="B31" s="224" t="s">
        <v>15</v>
      </c>
      <c r="C31" s="225" t="s">
        <v>128</v>
      </c>
      <c r="D31" s="223" t="s">
        <v>148</v>
      </c>
      <c r="E31" s="211">
        <v>45773.0</v>
      </c>
      <c r="F31" s="90"/>
    </row>
    <row r="32" ht="22.5" customHeight="1">
      <c r="A32" s="221">
        <v>35000.0</v>
      </c>
      <c r="B32" s="224" t="s">
        <v>15</v>
      </c>
      <c r="C32" s="225" t="s">
        <v>132</v>
      </c>
      <c r="D32" s="223" t="s">
        <v>149</v>
      </c>
      <c r="E32" s="211">
        <v>45773.0</v>
      </c>
      <c r="F32" s="90"/>
    </row>
    <row r="33" ht="22.5" customHeight="1">
      <c r="A33" s="221">
        <v>65000.0</v>
      </c>
      <c r="B33" s="224" t="s">
        <v>15</v>
      </c>
      <c r="C33" s="225" t="s">
        <v>145</v>
      </c>
      <c r="D33" s="228" t="s">
        <v>150</v>
      </c>
      <c r="E33" s="211">
        <v>45776.0</v>
      </c>
      <c r="F33" s="90"/>
    </row>
    <row r="34" ht="22.5" customHeight="1">
      <c r="A34" s="221">
        <v>2634.15</v>
      </c>
      <c r="B34" s="224" t="s">
        <v>15</v>
      </c>
      <c r="C34" s="225" t="s">
        <v>125</v>
      </c>
      <c r="D34" s="226"/>
      <c r="E34" s="211">
        <v>45777.0</v>
      </c>
      <c r="F34" s="90"/>
    </row>
    <row r="35" ht="22.5" customHeight="1">
      <c r="A35" s="221">
        <v>77000.0</v>
      </c>
      <c r="B35" s="224" t="s">
        <v>15</v>
      </c>
      <c r="C35" s="225" t="s">
        <v>128</v>
      </c>
      <c r="D35" s="223" t="s">
        <v>151</v>
      </c>
      <c r="E35" s="211">
        <v>45787.0</v>
      </c>
      <c r="F35" s="90"/>
    </row>
    <row r="36" ht="22.5" customHeight="1">
      <c r="A36" s="221">
        <v>35000.0</v>
      </c>
      <c r="B36" s="224" t="s">
        <v>15</v>
      </c>
      <c r="C36" s="225" t="s">
        <v>132</v>
      </c>
      <c r="D36" s="223" t="s">
        <v>152</v>
      </c>
      <c r="E36" s="211">
        <v>45787.0</v>
      </c>
      <c r="F36" s="90"/>
    </row>
    <row r="37" ht="22.5" customHeight="1">
      <c r="A37" s="221">
        <v>453.7</v>
      </c>
      <c r="B37" s="224" t="s">
        <v>35</v>
      </c>
      <c r="C37" s="225" t="s">
        <v>123</v>
      </c>
      <c r="D37" s="223" t="s">
        <v>153</v>
      </c>
      <c r="E37" s="211">
        <v>45787.0</v>
      </c>
      <c r="F37" s="90"/>
    </row>
    <row r="38" ht="22.5" customHeight="1">
      <c r="A38" s="221">
        <v>30000.0</v>
      </c>
      <c r="B38" s="224" t="s">
        <v>15</v>
      </c>
      <c r="C38" s="225" t="s">
        <v>132</v>
      </c>
      <c r="D38" s="223" t="s">
        <v>154</v>
      </c>
      <c r="E38" s="211">
        <v>45795.0</v>
      </c>
      <c r="F38" s="90"/>
    </row>
    <row r="39" ht="22.5" customHeight="1">
      <c r="A39" s="221">
        <v>1237.27</v>
      </c>
      <c r="B39" s="224" t="s">
        <v>15</v>
      </c>
      <c r="C39" s="225" t="s">
        <v>130</v>
      </c>
      <c r="D39" s="226"/>
      <c r="E39" s="211">
        <v>45796.0</v>
      </c>
      <c r="F39" s="90"/>
    </row>
    <row r="40" ht="22.5" customHeight="1">
      <c r="A40" s="221">
        <v>100.0</v>
      </c>
      <c r="B40" s="224" t="s">
        <v>35</v>
      </c>
      <c r="C40" s="225" t="s">
        <v>155</v>
      </c>
      <c r="D40" s="223" t="s">
        <v>156</v>
      </c>
      <c r="E40" s="211">
        <v>45799.0</v>
      </c>
      <c r="F40" s="90"/>
    </row>
    <row r="41" ht="22.5" customHeight="1">
      <c r="A41" s="221">
        <v>1300.0</v>
      </c>
      <c r="B41" s="224" t="s">
        <v>15</v>
      </c>
      <c r="C41" s="225" t="s">
        <v>121</v>
      </c>
      <c r="D41" s="223" t="s">
        <v>157</v>
      </c>
      <c r="E41" s="211">
        <v>45803.0</v>
      </c>
      <c r="F41" s="90"/>
    </row>
    <row r="42" ht="22.5" customHeight="1">
      <c r="A42" s="221">
        <v>200.0</v>
      </c>
      <c r="B42" s="224" t="s">
        <v>35</v>
      </c>
      <c r="C42" s="225" t="s">
        <v>123</v>
      </c>
      <c r="D42" s="223" t="s">
        <v>158</v>
      </c>
      <c r="E42" s="211">
        <v>45809.0</v>
      </c>
      <c r="F42" s="90"/>
    </row>
    <row r="43" ht="22.5" customHeight="1">
      <c r="A43" s="221">
        <v>100000.0</v>
      </c>
      <c r="B43" s="224" t="s">
        <v>15</v>
      </c>
      <c r="C43" s="225" t="s">
        <v>121</v>
      </c>
      <c r="D43" s="223" t="s">
        <v>159</v>
      </c>
      <c r="E43" s="211">
        <v>45809.0</v>
      </c>
      <c r="F43" s="90"/>
    </row>
    <row r="44" ht="22.5" customHeight="1">
      <c r="A44" s="221">
        <v>100.0</v>
      </c>
      <c r="B44" s="224" t="s">
        <v>35</v>
      </c>
      <c r="C44" s="225" t="s">
        <v>155</v>
      </c>
      <c r="D44" s="223" t="s">
        <v>160</v>
      </c>
      <c r="E44" s="211">
        <v>45813.0</v>
      </c>
      <c r="F44" s="90"/>
    </row>
    <row r="45" ht="22.5" customHeight="1">
      <c r="A45" s="221">
        <v>467.66</v>
      </c>
      <c r="B45" s="224" t="s">
        <v>15</v>
      </c>
      <c r="C45" s="225" t="s">
        <v>130</v>
      </c>
      <c r="D45" s="226"/>
      <c r="E45" s="211">
        <v>45819.0</v>
      </c>
      <c r="F45" s="90"/>
    </row>
    <row r="46" ht="22.5" customHeight="1">
      <c r="A46" s="221">
        <v>11304.36</v>
      </c>
      <c r="B46" s="224" t="s">
        <v>15</v>
      </c>
      <c r="C46" s="225" t="s">
        <v>121</v>
      </c>
      <c r="D46" s="226"/>
      <c r="E46" s="211">
        <v>45821.0</v>
      </c>
      <c r="F46" s="90"/>
    </row>
    <row r="47" ht="22.5" customHeight="1">
      <c r="A47" s="221">
        <v>105000.11</v>
      </c>
      <c r="B47" s="224" t="s">
        <v>15</v>
      </c>
      <c r="C47" s="225" t="s">
        <v>135</v>
      </c>
      <c r="D47" s="223" t="s">
        <v>161</v>
      </c>
      <c r="E47" s="211">
        <v>45823.0</v>
      </c>
      <c r="F47" s="90"/>
    </row>
    <row r="48" ht="22.5" customHeight="1">
      <c r="A48" s="221">
        <v>500.0</v>
      </c>
      <c r="B48" s="224" t="s">
        <v>35</v>
      </c>
      <c r="C48" s="225" t="s">
        <v>123</v>
      </c>
      <c r="D48" s="223" t="s">
        <v>162</v>
      </c>
      <c r="E48" s="211">
        <v>45825.0</v>
      </c>
      <c r="F48" s="90"/>
    </row>
    <row r="49" ht="22.5" customHeight="1">
      <c r="A49" s="221">
        <v>13662.26</v>
      </c>
      <c r="B49" s="224" t="s">
        <v>15</v>
      </c>
      <c r="C49" s="225" t="s">
        <v>125</v>
      </c>
      <c r="D49" s="226"/>
      <c r="E49" s="211">
        <v>45826.0</v>
      </c>
      <c r="F49" s="90"/>
    </row>
    <row r="50" ht="22.5" customHeight="1">
      <c r="A50" s="221">
        <v>1030.78</v>
      </c>
      <c r="B50" s="224" t="s">
        <v>15</v>
      </c>
      <c r="C50" s="225" t="s">
        <v>130</v>
      </c>
      <c r="D50" s="226"/>
      <c r="E50" s="211">
        <v>45843.0</v>
      </c>
      <c r="F50" s="90"/>
    </row>
    <row r="51" ht="22.5" customHeight="1">
      <c r="A51" s="221">
        <v>50000.0</v>
      </c>
      <c r="B51" s="224" t="s">
        <v>15</v>
      </c>
      <c r="C51" s="225" t="s">
        <v>121</v>
      </c>
      <c r="D51" s="223" t="s">
        <v>163</v>
      </c>
      <c r="E51" s="211">
        <v>45849.0</v>
      </c>
      <c r="F51" s="90"/>
    </row>
    <row r="52" ht="22.5" customHeight="1">
      <c r="A52" s="221">
        <v>163370.0</v>
      </c>
      <c r="B52" s="224" t="s">
        <v>15</v>
      </c>
      <c r="C52" s="225" t="s">
        <v>135</v>
      </c>
      <c r="D52" s="226"/>
      <c r="E52" s="211">
        <v>45851.0</v>
      </c>
      <c r="F52" s="90"/>
    </row>
    <row r="53" ht="22.5" customHeight="1">
      <c r="A53" s="221">
        <v>35000.0</v>
      </c>
      <c r="B53" s="224" t="s">
        <v>15</v>
      </c>
      <c r="C53" s="225" t="s">
        <v>135</v>
      </c>
      <c r="D53" s="226"/>
      <c r="E53" s="211">
        <v>45851.0</v>
      </c>
      <c r="F53" s="90"/>
    </row>
    <row r="54" ht="22.5" customHeight="1">
      <c r="A54" s="221">
        <v>629.25</v>
      </c>
      <c r="B54" s="224" t="s">
        <v>15</v>
      </c>
      <c r="C54" s="223" t="s">
        <v>130</v>
      </c>
      <c r="D54" s="223">
        <v>3.0</v>
      </c>
      <c r="E54" s="211">
        <v>45856.0</v>
      </c>
      <c r="F54" s="90"/>
    </row>
    <row r="55" ht="22.5" customHeight="1">
      <c r="A55" s="221">
        <v>6900.0</v>
      </c>
      <c r="B55" s="224" t="s">
        <v>15</v>
      </c>
      <c r="C55" s="223" t="s">
        <v>121</v>
      </c>
      <c r="D55" s="223" t="s">
        <v>164</v>
      </c>
      <c r="E55" s="211">
        <v>45859.0</v>
      </c>
      <c r="F55" s="90"/>
    </row>
    <row r="56" ht="22.5" customHeight="1">
      <c r="A56" s="221">
        <v>1000.0</v>
      </c>
      <c r="B56" s="224" t="s">
        <v>15</v>
      </c>
      <c r="C56" s="223" t="s">
        <v>140</v>
      </c>
      <c r="D56" s="223" t="s">
        <v>165</v>
      </c>
      <c r="E56" s="211">
        <v>45861.0</v>
      </c>
      <c r="F56" s="90"/>
    </row>
    <row r="57" ht="22.5" customHeight="1">
      <c r="A57" s="221">
        <v>70000.0</v>
      </c>
      <c r="B57" s="224" t="s">
        <v>15</v>
      </c>
      <c r="C57" s="223" t="s">
        <v>128</v>
      </c>
      <c r="D57" s="229" t="s">
        <v>166</v>
      </c>
      <c r="E57" s="211">
        <v>45864.0</v>
      </c>
      <c r="F57" s="90"/>
    </row>
    <row r="58" ht="22.5" customHeight="1">
      <c r="A58" s="221">
        <v>50000.0</v>
      </c>
      <c r="B58" s="224" t="s">
        <v>15</v>
      </c>
      <c r="C58" s="223" t="s">
        <v>128</v>
      </c>
      <c r="D58" s="223" t="s">
        <v>167</v>
      </c>
      <c r="E58" s="211">
        <v>45866.0</v>
      </c>
      <c r="F58" s="90"/>
    </row>
    <row r="59" ht="22.5" customHeight="1">
      <c r="A59" s="221">
        <v>81685.0</v>
      </c>
      <c r="B59" s="224" t="s">
        <v>15</v>
      </c>
      <c r="C59" s="223" t="s">
        <v>135</v>
      </c>
      <c r="D59" s="223" t="s">
        <v>164</v>
      </c>
      <c r="E59" s="211">
        <v>45866.0</v>
      </c>
      <c r="F59" s="90"/>
    </row>
    <row r="60" ht="22.5" customHeight="1">
      <c r="A60" s="221">
        <v>21323.22</v>
      </c>
      <c r="B60" s="224" t="s">
        <v>15</v>
      </c>
      <c r="C60" s="223" t="s">
        <v>123</v>
      </c>
      <c r="D60" s="223" t="s">
        <v>168</v>
      </c>
      <c r="E60" s="211">
        <v>45867.0</v>
      </c>
      <c r="F60" s="90"/>
    </row>
    <row r="61" ht="22.5" customHeight="1">
      <c r="A61" s="221">
        <v>70000.0</v>
      </c>
      <c r="B61" s="224" t="s">
        <v>15</v>
      </c>
      <c r="C61" s="223" t="s">
        <v>155</v>
      </c>
      <c r="D61" s="229" t="s">
        <v>169</v>
      </c>
      <c r="E61" s="211">
        <v>45875.0</v>
      </c>
      <c r="F61" s="90"/>
    </row>
    <row r="62" ht="22.5" customHeight="1">
      <c r="A62" s="221">
        <v>3500.0</v>
      </c>
      <c r="B62" s="224" t="s">
        <v>15</v>
      </c>
      <c r="C62" s="223" t="s">
        <v>121</v>
      </c>
      <c r="D62" s="223" t="s">
        <v>163</v>
      </c>
      <c r="E62" s="211">
        <v>45877.0</v>
      </c>
      <c r="F62" s="90"/>
    </row>
    <row r="63" ht="22.5" customHeight="1">
      <c r="A63" s="221">
        <v>81692.28</v>
      </c>
      <c r="B63" s="224" t="s">
        <v>15</v>
      </c>
      <c r="C63" s="223" t="s">
        <v>135</v>
      </c>
      <c r="D63" s="226"/>
      <c r="E63" s="211">
        <v>45879.0</v>
      </c>
      <c r="F63" s="90"/>
    </row>
    <row r="64" ht="22.5" customHeight="1">
      <c r="A64" s="221">
        <v>30000.0</v>
      </c>
      <c r="B64" s="224" t="s">
        <v>15</v>
      </c>
      <c r="C64" s="223" t="s">
        <v>155</v>
      </c>
      <c r="D64" s="229" t="s">
        <v>170</v>
      </c>
      <c r="E64" s="211">
        <v>45884.0</v>
      </c>
      <c r="F64" s="90"/>
    </row>
    <row r="65" ht="22.5" customHeight="1">
      <c r="A65" s="221">
        <v>70000.0</v>
      </c>
      <c r="B65" s="224" t="s">
        <v>15</v>
      </c>
      <c r="C65" s="223" t="s">
        <v>155</v>
      </c>
      <c r="D65" s="229" t="s">
        <v>171</v>
      </c>
      <c r="E65" s="211">
        <v>45885.0</v>
      </c>
      <c r="F65" s="90"/>
    </row>
    <row r="66" ht="22.5" customHeight="1">
      <c r="A66" s="221">
        <v>30000.0</v>
      </c>
      <c r="B66" s="224" t="s">
        <v>15</v>
      </c>
      <c r="C66" s="223" t="s">
        <v>155</v>
      </c>
      <c r="D66" s="229" t="s">
        <v>172</v>
      </c>
      <c r="E66" s="211">
        <v>45893.0</v>
      </c>
      <c r="F66" s="90"/>
    </row>
    <row r="67" ht="22.5" customHeight="1">
      <c r="A67" s="221">
        <v>30000.0</v>
      </c>
      <c r="B67" s="224" t="s">
        <v>15</v>
      </c>
      <c r="C67" s="223" t="s">
        <v>155</v>
      </c>
      <c r="D67" s="229" t="s">
        <v>173</v>
      </c>
      <c r="E67" s="211">
        <v>45893.0</v>
      </c>
      <c r="F67" s="90"/>
    </row>
    <row r="68" ht="22.5" customHeight="1">
      <c r="A68" s="221">
        <v>2000.0</v>
      </c>
      <c r="B68" s="224" t="s">
        <v>15</v>
      </c>
      <c r="C68" s="223" t="s">
        <v>121</v>
      </c>
      <c r="D68" s="223" t="s">
        <v>174</v>
      </c>
      <c r="E68" s="211">
        <v>45904.0</v>
      </c>
      <c r="F68" s="90"/>
    </row>
    <row r="69" ht="22.5" customHeight="1">
      <c r="A69" s="221">
        <v>30000.0</v>
      </c>
      <c r="B69" s="224" t="s">
        <v>15</v>
      </c>
      <c r="C69" s="223" t="s">
        <v>155</v>
      </c>
      <c r="D69" s="223" t="s">
        <v>175</v>
      </c>
      <c r="E69" s="211">
        <v>45907.0</v>
      </c>
      <c r="F69" s="90"/>
    </row>
    <row r="70" ht="22.5" customHeight="1">
      <c r="A70" s="221">
        <v>50.0</v>
      </c>
      <c r="B70" s="224" t="s">
        <v>35</v>
      </c>
      <c r="C70" s="225" t="s">
        <v>123</v>
      </c>
      <c r="D70" s="223" t="s">
        <v>176</v>
      </c>
      <c r="E70" s="211">
        <v>45907.0</v>
      </c>
      <c r="F70" s="90"/>
    </row>
    <row r="71" ht="22.5" customHeight="1">
      <c r="A71" s="221">
        <v>29186.68</v>
      </c>
      <c r="B71" s="224" t="s">
        <v>15</v>
      </c>
      <c r="C71" s="223" t="s">
        <v>135</v>
      </c>
      <c r="D71" s="223" t="s">
        <v>164</v>
      </c>
      <c r="E71" s="211">
        <v>45910.0</v>
      </c>
      <c r="F71" s="90"/>
    </row>
    <row r="72" ht="22.5" customHeight="1">
      <c r="A72" s="221">
        <v>40000.0</v>
      </c>
      <c r="B72" s="224" t="s">
        <v>15</v>
      </c>
      <c r="C72" s="223" t="s">
        <v>128</v>
      </c>
      <c r="D72" s="223" t="s">
        <v>177</v>
      </c>
      <c r="E72" s="211">
        <v>45914.0</v>
      </c>
      <c r="F72" s="90"/>
    </row>
    <row r="73" ht="22.5" customHeight="1">
      <c r="A73" s="221">
        <v>25.0</v>
      </c>
      <c r="B73" s="224" t="s">
        <v>35</v>
      </c>
      <c r="C73" s="223" t="s">
        <v>123</v>
      </c>
      <c r="D73" s="223" t="s">
        <v>178</v>
      </c>
      <c r="E73" s="211">
        <v>45919.0</v>
      </c>
      <c r="F73" s="90"/>
    </row>
    <row r="74" ht="22.5" customHeight="1">
      <c r="A74" s="221">
        <v>1158.5</v>
      </c>
      <c r="B74" s="224" t="s">
        <v>15</v>
      </c>
      <c r="C74" s="223" t="s">
        <v>125</v>
      </c>
      <c r="D74" s="223" t="s">
        <v>164</v>
      </c>
      <c r="E74" s="211">
        <v>45925.0</v>
      </c>
      <c r="F74" s="90"/>
    </row>
    <row r="75" ht="22.5" customHeight="1">
      <c r="A75" s="221">
        <v>35000.0</v>
      </c>
      <c r="B75" s="224" t="s">
        <v>15</v>
      </c>
      <c r="C75" s="225" t="s">
        <v>128</v>
      </c>
      <c r="D75" s="229" t="s">
        <v>179</v>
      </c>
      <c r="E75" s="211">
        <v>45927.0</v>
      </c>
      <c r="F75" s="90"/>
    </row>
    <row r="76" ht="22.5" customHeight="1">
      <c r="A76" s="221">
        <v>30.0</v>
      </c>
      <c r="B76" s="224" t="s">
        <v>35</v>
      </c>
      <c r="C76" s="223" t="s">
        <v>123</v>
      </c>
      <c r="D76" s="223" t="s">
        <v>180</v>
      </c>
      <c r="E76" s="211">
        <v>45931.0</v>
      </c>
      <c r="F76" s="90"/>
      <c r="I76" s="201"/>
    </row>
    <row r="77" ht="22.5" customHeight="1">
      <c r="A77" s="221">
        <v>29186.6</v>
      </c>
      <c r="B77" s="224" t="s">
        <v>15</v>
      </c>
      <c r="C77" s="223" t="s">
        <v>135</v>
      </c>
      <c r="D77" s="223" t="s">
        <v>181</v>
      </c>
      <c r="E77" s="211">
        <v>45932.0</v>
      </c>
      <c r="F77" s="90"/>
    </row>
    <row r="78" ht="22.5" customHeight="1">
      <c r="A78" s="221">
        <v>70000.0</v>
      </c>
      <c r="B78" s="224" t="s">
        <v>15</v>
      </c>
      <c r="C78" s="223" t="s">
        <v>128</v>
      </c>
      <c r="D78" s="229" t="s">
        <v>182</v>
      </c>
      <c r="E78" s="211">
        <v>45934.0</v>
      </c>
      <c r="F78" s="90"/>
    </row>
    <row r="79" ht="22.5" customHeight="1">
      <c r="A79" s="221">
        <v>30000.0</v>
      </c>
      <c r="B79" s="224" t="s">
        <v>26</v>
      </c>
      <c r="C79" s="225" t="s">
        <v>183</v>
      </c>
      <c r="D79" s="223" t="s">
        <v>184</v>
      </c>
      <c r="E79" s="211">
        <v>45940.0</v>
      </c>
      <c r="F79" s="90"/>
    </row>
    <row r="80" ht="22.5" customHeight="1">
      <c r="A80" s="221">
        <v>100.0</v>
      </c>
      <c r="B80" s="224" t="s">
        <v>35</v>
      </c>
      <c r="C80" s="223" t="s">
        <v>123</v>
      </c>
      <c r="D80" s="223" t="s">
        <v>185</v>
      </c>
      <c r="E80" s="211">
        <v>45941.0</v>
      </c>
      <c r="F80" s="90"/>
    </row>
    <row r="81" ht="22.5" customHeight="1">
      <c r="A81" s="221">
        <v>30000.0</v>
      </c>
      <c r="B81" s="224" t="s">
        <v>26</v>
      </c>
      <c r="C81" s="223" t="s">
        <v>155</v>
      </c>
      <c r="D81" s="223" t="s">
        <v>184</v>
      </c>
      <c r="E81" s="211">
        <v>45944.0</v>
      </c>
      <c r="F81" s="90"/>
    </row>
    <row r="82" ht="22.5" customHeight="1">
      <c r="A82" s="221">
        <v>800.0</v>
      </c>
      <c r="B82" s="224" t="s">
        <v>26</v>
      </c>
      <c r="C82" s="223" t="s">
        <v>121</v>
      </c>
      <c r="D82" s="223" t="s">
        <v>186</v>
      </c>
      <c r="E82" s="211">
        <v>45947.0</v>
      </c>
      <c r="F82" s="90"/>
    </row>
    <row r="83" ht="22.5" customHeight="1">
      <c r="A83" s="221">
        <v>8000.0</v>
      </c>
      <c r="B83" s="224" t="s">
        <v>26</v>
      </c>
      <c r="C83" s="223" t="s">
        <v>183</v>
      </c>
      <c r="D83" s="229" t="s">
        <v>187</v>
      </c>
      <c r="E83" s="211">
        <v>45947.0</v>
      </c>
      <c r="F83" s="90"/>
    </row>
    <row r="84" ht="22.5" customHeight="1">
      <c r="A84" s="221">
        <v>500.0</v>
      </c>
      <c r="B84" s="224" t="s">
        <v>26</v>
      </c>
      <c r="C84" s="223" t="s">
        <v>121</v>
      </c>
      <c r="D84" s="223" t="s">
        <v>188</v>
      </c>
      <c r="E84" s="211">
        <v>45947.0</v>
      </c>
      <c r="F84" s="90"/>
    </row>
    <row r="85" ht="22.5" customHeight="1">
      <c r="A85" s="221">
        <v>15.0</v>
      </c>
      <c r="B85" s="224" t="s">
        <v>35</v>
      </c>
      <c r="C85" s="223" t="s">
        <v>123</v>
      </c>
      <c r="D85" s="223" t="s">
        <v>189</v>
      </c>
      <c r="E85" s="211">
        <v>45947.0</v>
      </c>
      <c r="F85" s="90"/>
    </row>
    <row r="86" ht="22.5" customHeight="1">
      <c r="A86" s="221">
        <v>800.0</v>
      </c>
      <c r="B86" s="224" t="s">
        <v>26</v>
      </c>
      <c r="C86" s="223" t="s">
        <v>125</v>
      </c>
      <c r="D86" s="223" t="s">
        <v>164</v>
      </c>
      <c r="E86" s="211">
        <v>45948.0</v>
      </c>
      <c r="F86" s="90"/>
    </row>
    <row r="87" ht="22.5" customHeight="1">
      <c r="A87" s="221">
        <v>149.46</v>
      </c>
      <c r="B87" s="224" t="s">
        <v>15</v>
      </c>
      <c r="C87" s="223" t="s">
        <v>125</v>
      </c>
      <c r="D87" s="223" t="s">
        <v>164</v>
      </c>
      <c r="E87" s="211">
        <v>45948.0</v>
      </c>
      <c r="F87" s="90"/>
    </row>
    <row r="88" ht="22.5" customHeight="1">
      <c r="A88" s="221">
        <v>60000.0</v>
      </c>
      <c r="B88" s="224" t="s">
        <v>26</v>
      </c>
      <c r="C88" s="223" t="s">
        <v>183</v>
      </c>
      <c r="D88" s="229" t="s">
        <v>190</v>
      </c>
      <c r="E88" s="211">
        <v>45954.0</v>
      </c>
      <c r="F88" s="90"/>
    </row>
    <row r="89" ht="22.5" customHeight="1">
      <c r="A89" s="221">
        <v>80000.0</v>
      </c>
      <c r="B89" s="224" t="s">
        <v>26</v>
      </c>
      <c r="C89" s="223" t="s">
        <v>183</v>
      </c>
      <c r="D89" s="229" t="s">
        <v>191</v>
      </c>
      <c r="E89" s="211">
        <v>45954.0</v>
      </c>
      <c r="F89" s="90"/>
    </row>
    <row r="90" ht="22.5" customHeight="1">
      <c r="A90" s="221">
        <v>30000.0</v>
      </c>
      <c r="B90" s="224" t="s">
        <v>26</v>
      </c>
      <c r="C90" s="223" t="s">
        <v>183</v>
      </c>
      <c r="D90" s="223" t="s">
        <v>192</v>
      </c>
      <c r="E90" s="211">
        <v>45956.0</v>
      </c>
      <c r="F90" s="90"/>
    </row>
    <row r="91" ht="22.5" customHeight="1">
      <c r="A91" s="221">
        <v>50000.0</v>
      </c>
      <c r="B91" s="224" t="s">
        <v>15</v>
      </c>
      <c r="C91" s="223" t="s">
        <v>140</v>
      </c>
      <c r="D91" s="223" t="s">
        <v>193</v>
      </c>
      <c r="E91" s="211">
        <v>45960.0</v>
      </c>
      <c r="F91" s="90"/>
    </row>
    <row r="92" ht="22.5" customHeight="1">
      <c r="A92" s="221">
        <v>30000.0</v>
      </c>
      <c r="B92" s="224" t="s">
        <v>26</v>
      </c>
      <c r="C92" s="223" t="s">
        <v>155</v>
      </c>
      <c r="D92" s="223" t="s">
        <v>194</v>
      </c>
      <c r="E92" s="211">
        <v>45960.0</v>
      </c>
      <c r="F92" s="90"/>
    </row>
    <row r="93" ht="22.5" customHeight="1">
      <c r="A93" s="221">
        <v>80000.0</v>
      </c>
      <c r="B93" s="224" t="s">
        <v>26</v>
      </c>
      <c r="C93" s="223" t="s">
        <v>128</v>
      </c>
      <c r="D93" s="223" t="s">
        <v>195</v>
      </c>
      <c r="E93" s="211">
        <v>45962.0</v>
      </c>
      <c r="F93" s="90"/>
    </row>
    <row r="94" ht="22.5" customHeight="1">
      <c r="A94" s="221">
        <v>30000.0</v>
      </c>
      <c r="B94" s="224" t="s">
        <v>26</v>
      </c>
      <c r="C94" s="223" t="s">
        <v>155</v>
      </c>
      <c r="D94" s="223" t="s">
        <v>196</v>
      </c>
      <c r="E94" s="211">
        <v>45963.0</v>
      </c>
      <c r="F94" s="90"/>
    </row>
    <row r="95" ht="22.5" customHeight="1">
      <c r="A95" s="221">
        <v>75000.0</v>
      </c>
      <c r="B95" s="224" t="s">
        <v>15</v>
      </c>
      <c r="C95" s="223" t="s">
        <v>197</v>
      </c>
      <c r="D95" s="223" t="s">
        <v>198</v>
      </c>
      <c r="E95" s="211">
        <v>45966.0</v>
      </c>
      <c r="F95" s="90"/>
    </row>
    <row r="96" ht="22.5" customHeight="1">
      <c r="A96" s="221">
        <v>81685.2</v>
      </c>
      <c r="B96" s="224" t="s">
        <v>15</v>
      </c>
      <c r="C96" s="223" t="s">
        <v>135</v>
      </c>
      <c r="D96" s="223" t="s">
        <v>164</v>
      </c>
      <c r="E96" s="211">
        <v>45966.0</v>
      </c>
      <c r="F96" s="90"/>
      <c r="H96" s="47" t="s">
        <v>0</v>
      </c>
    </row>
    <row r="97" ht="22.5" customHeight="1">
      <c r="A97" s="221">
        <v>80000.0</v>
      </c>
      <c r="B97" s="224" t="s">
        <v>26</v>
      </c>
      <c r="C97" s="223" t="s">
        <v>128</v>
      </c>
      <c r="D97" s="223" t="s">
        <v>199</v>
      </c>
      <c r="E97" s="211">
        <v>45969.0</v>
      </c>
      <c r="F97" s="90"/>
    </row>
    <row r="98" ht="22.5" customHeight="1">
      <c r="A98" s="221">
        <v>1002.0</v>
      </c>
      <c r="B98" s="224" t="s">
        <v>15</v>
      </c>
      <c r="C98" s="223" t="s">
        <v>125</v>
      </c>
      <c r="D98" s="223" t="s">
        <v>164</v>
      </c>
      <c r="E98" s="211">
        <v>45971.0</v>
      </c>
      <c r="F98" s="90"/>
    </row>
    <row r="99" ht="22.5" customHeight="1">
      <c r="A99" s="221">
        <v>5000.0</v>
      </c>
      <c r="B99" s="224" t="s">
        <v>26</v>
      </c>
      <c r="C99" s="223" t="s">
        <v>121</v>
      </c>
      <c r="D99" s="223" t="s">
        <v>200</v>
      </c>
      <c r="E99" s="211">
        <v>45973.0</v>
      </c>
      <c r="F99" s="90"/>
    </row>
    <row r="100" ht="22.5" customHeight="1">
      <c r="A100" s="230">
        <v>80000.0</v>
      </c>
      <c r="B100" s="231" t="s">
        <v>26</v>
      </c>
      <c r="C100" s="228" t="s">
        <v>183</v>
      </c>
      <c r="D100" s="229" t="s">
        <v>201</v>
      </c>
      <c r="E100" s="232">
        <v>45973.0</v>
      </c>
      <c r="F100" s="90"/>
    </row>
    <row r="101" ht="22.5" customHeight="1">
      <c r="A101" s="221">
        <v>68000.0</v>
      </c>
      <c r="B101" s="224" t="s">
        <v>26</v>
      </c>
      <c r="C101" s="223" t="s">
        <v>155</v>
      </c>
      <c r="D101" s="223" t="s">
        <v>202</v>
      </c>
      <c r="E101" s="211">
        <v>45974.0</v>
      </c>
      <c r="F101" s="90"/>
    </row>
    <row r="102" ht="22.5" customHeight="1">
      <c r="A102" s="221">
        <v>119000.0</v>
      </c>
      <c r="B102" s="224" t="s">
        <v>15</v>
      </c>
      <c r="C102" s="223" t="s">
        <v>123</v>
      </c>
      <c r="D102" s="223" t="s">
        <v>203</v>
      </c>
      <c r="E102" s="211">
        <v>45979.0</v>
      </c>
      <c r="F102" s="90"/>
    </row>
    <row r="103" ht="22.5" customHeight="1">
      <c r="A103" s="221">
        <v>30000.0</v>
      </c>
      <c r="B103" s="224" t="s">
        <v>15</v>
      </c>
      <c r="C103" s="223" t="s">
        <v>155</v>
      </c>
      <c r="D103" s="223" t="s">
        <v>204</v>
      </c>
      <c r="E103" s="211">
        <v>45979.0</v>
      </c>
      <c r="F103" s="90"/>
    </row>
    <row r="104" ht="22.5" customHeight="1">
      <c r="A104" s="221">
        <v>50000.0</v>
      </c>
      <c r="B104" s="224" t="s">
        <v>15</v>
      </c>
      <c r="C104" s="223" t="s">
        <v>128</v>
      </c>
      <c r="D104" s="223" t="s">
        <v>205</v>
      </c>
      <c r="E104" s="211">
        <v>45983.0</v>
      </c>
      <c r="F104" s="90"/>
    </row>
    <row r="105" ht="22.5" customHeight="1">
      <c r="A105" s="221">
        <v>70000.0</v>
      </c>
      <c r="B105" s="224" t="s">
        <v>15</v>
      </c>
      <c r="C105" s="223" t="s">
        <v>155</v>
      </c>
      <c r="D105" s="223" t="s">
        <v>206</v>
      </c>
      <c r="E105" s="211">
        <v>45983.0</v>
      </c>
      <c r="F105" s="90"/>
    </row>
    <row r="106" ht="22.5" customHeight="1">
      <c r="A106" s="221">
        <v>50000.0</v>
      </c>
      <c r="B106" s="224" t="s">
        <v>15</v>
      </c>
      <c r="C106" s="223" t="s">
        <v>128</v>
      </c>
      <c r="D106" s="223" t="s">
        <v>207</v>
      </c>
      <c r="E106" s="211">
        <v>45983.0</v>
      </c>
      <c r="F106" s="90"/>
    </row>
    <row r="107" ht="22.5" customHeight="1">
      <c r="A107" s="221">
        <v>75000.0</v>
      </c>
      <c r="B107" s="224" t="s">
        <v>15</v>
      </c>
      <c r="C107" s="223" t="s">
        <v>132</v>
      </c>
      <c r="D107" s="223" t="s">
        <v>208</v>
      </c>
      <c r="E107" s="211">
        <v>45988.0</v>
      </c>
      <c r="F107" s="90"/>
    </row>
    <row r="108" ht="22.5" customHeight="1">
      <c r="A108" s="221">
        <v>1559.41</v>
      </c>
      <c r="B108" s="224" t="s">
        <v>15</v>
      </c>
      <c r="C108" s="223" t="s">
        <v>130</v>
      </c>
      <c r="D108" s="223" t="s">
        <v>164</v>
      </c>
      <c r="E108" s="211">
        <v>45990.0</v>
      </c>
      <c r="F108" s="90"/>
    </row>
    <row r="109" ht="22.5" customHeight="1">
      <c r="A109" s="221">
        <v>100000.0</v>
      </c>
      <c r="B109" s="224" t="s">
        <v>26</v>
      </c>
      <c r="C109" s="223" t="s">
        <v>128</v>
      </c>
      <c r="D109" s="223" t="s">
        <v>209</v>
      </c>
      <c r="E109" s="211">
        <v>45992.0</v>
      </c>
      <c r="F109" s="90"/>
    </row>
    <row r="110" ht="22.5" customHeight="1">
      <c r="A110" s="221">
        <v>5000.0</v>
      </c>
      <c r="B110" s="224" t="s">
        <v>15</v>
      </c>
      <c r="C110" s="223" t="s">
        <v>121</v>
      </c>
      <c r="D110" s="223" t="s">
        <v>210</v>
      </c>
      <c r="E110" s="211">
        <v>45992.0</v>
      </c>
      <c r="F110" s="90"/>
    </row>
    <row r="111" ht="22.5" customHeight="1">
      <c r="A111" s="221">
        <v>81685.56</v>
      </c>
      <c r="B111" s="224" t="s">
        <v>15</v>
      </c>
      <c r="C111" s="223" t="s">
        <v>135</v>
      </c>
      <c r="D111" s="223" t="s">
        <v>164</v>
      </c>
      <c r="E111" s="211">
        <v>45995.0</v>
      </c>
      <c r="F111" s="90"/>
    </row>
    <row r="112" ht="22.5" customHeight="1">
      <c r="A112" s="221">
        <v>50000.0</v>
      </c>
      <c r="B112" s="224" t="s">
        <v>26</v>
      </c>
      <c r="C112" s="223" t="s">
        <v>155</v>
      </c>
      <c r="D112" s="223" t="s">
        <v>211</v>
      </c>
      <c r="E112" s="211">
        <v>45996.0</v>
      </c>
      <c r="F112" s="90"/>
    </row>
    <row r="113" ht="22.5" customHeight="1">
      <c r="A113" s="221">
        <v>16000.0</v>
      </c>
      <c r="B113" s="224" t="s">
        <v>26</v>
      </c>
      <c r="C113" s="223" t="s">
        <v>140</v>
      </c>
      <c r="D113" s="223" t="s">
        <v>212</v>
      </c>
      <c r="E113" s="211">
        <v>45998.0</v>
      </c>
      <c r="F113" s="90"/>
      <c r="H113" s="201"/>
    </row>
    <row r="114" ht="22.5" customHeight="1">
      <c r="A114" s="221">
        <v>30000.0</v>
      </c>
      <c r="B114" s="224" t="s">
        <v>15</v>
      </c>
      <c r="C114" s="223" t="s">
        <v>155</v>
      </c>
      <c r="D114" s="223" t="s">
        <v>213</v>
      </c>
      <c r="E114" s="211">
        <v>46001.0</v>
      </c>
      <c r="F114" s="90"/>
    </row>
    <row r="115" ht="22.5" customHeight="1">
      <c r="A115" s="221">
        <v>20000.0</v>
      </c>
      <c r="B115" s="224" t="s">
        <v>15</v>
      </c>
      <c r="C115" s="223" t="s">
        <v>155</v>
      </c>
      <c r="D115" s="223" t="s">
        <v>214</v>
      </c>
      <c r="E115" s="211">
        <v>46003.0</v>
      </c>
      <c r="F115" s="90"/>
    </row>
    <row r="116" ht="22.5" customHeight="1">
      <c r="A116" s="221">
        <v>70000.0</v>
      </c>
      <c r="B116" s="224" t="s">
        <v>15</v>
      </c>
      <c r="C116" s="223" t="s">
        <v>128</v>
      </c>
      <c r="D116" s="223" t="s">
        <v>215</v>
      </c>
      <c r="E116" s="211">
        <v>46004.0</v>
      </c>
      <c r="F116" s="90"/>
    </row>
    <row r="117" ht="22.5" customHeight="1">
      <c r="A117" s="221">
        <v>50.01</v>
      </c>
      <c r="B117" s="224" t="s">
        <v>35</v>
      </c>
      <c r="C117" s="223" t="s">
        <v>123</v>
      </c>
      <c r="D117" s="223" t="s">
        <v>216</v>
      </c>
      <c r="E117" s="211">
        <v>46004.0</v>
      </c>
      <c r="F117" s="90"/>
    </row>
    <row r="118" ht="22.5" customHeight="1">
      <c r="A118" s="221">
        <v>95000.0</v>
      </c>
      <c r="B118" s="224" t="s">
        <v>15</v>
      </c>
      <c r="C118" s="223" t="s">
        <v>128</v>
      </c>
      <c r="D118" s="223" t="s">
        <v>217</v>
      </c>
      <c r="E118" s="211">
        <v>46005.0</v>
      </c>
      <c r="F118" s="90"/>
    </row>
    <row r="119" ht="22.5" customHeight="1">
      <c r="A119" s="221">
        <v>50000.0</v>
      </c>
      <c r="B119" s="224" t="s">
        <v>15</v>
      </c>
      <c r="C119" s="223" t="s">
        <v>218</v>
      </c>
      <c r="D119" s="223" t="s">
        <v>219</v>
      </c>
      <c r="E119" s="211">
        <v>46007.0</v>
      </c>
      <c r="F119" s="90"/>
    </row>
    <row r="120" ht="22.5" customHeight="1">
      <c r="A120" s="221">
        <v>50000.0</v>
      </c>
      <c r="B120" s="224" t="s">
        <v>15</v>
      </c>
      <c r="C120" s="223" t="s">
        <v>155</v>
      </c>
      <c r="D120" s="223" t="s">
        <v>220</v>
      </c>
      <c r="E120" s="211">
        <v>46008.0</v>
      </c>
      <c r="F120" s="90"/>
    </row>
    <row r="121" ht="22.5" customHeight="1">
      <c r="A121" s="221">
        <v>370000.0</v>
      </c>
      <c r="B121" s="224" t="s">
        <v>15</v>
      </c>
      <c r="C121" s="223" t="s">
        <v>123</v>
      </c>
      <c r="D121" s="223" t="s">
        <v>221</v>
      </c>
      <c r="E121" s="211">
        <v>46009.0</v>
      </c>
      <c r="F121" s="90"/>
    </row>
    <row r="122" ht="22.5" customHeight="1">
      <c r="A122" s="221">
        <v>76600.0</v>
      </c>
      <c r="B122" s="224" t="s">
        <v>15</v>
      </c>
      <c r="C122" s="223" t="s">
        <v>132</v>
      </c>
      <c r="D122" s="223" t="s">
        <v>222</v>
      </c>
      <c r="E122" s="211">
        <v>46009.0</v>
      </c>
      <c r="F122" s="90"/>
    </row>
    <row r="123" ht="22.5" customHeight="1">
      <c r="A123" s="221">
        <v>72.62883096</v>
      </c>
      <c r="B123" s="224" t="s">
        <v>35</v>
      </c>
      <c r="C123" s="223" t="s">
        <v>123</v>
      </c>
      <c r="D123" s="223" t="s">
        <v>223</v>
      </c>
      <c r="E123" s="211">
        <v>46014.0</v>
      </c>
      <c r="F123" s="90"/>
    </row>
    <row r="124" ht="22.5" customHeight="1">
      <c r="A124" s="221">
        <v>42.4</v>
      </c>
      <c r="B124" s="224" t="s">
        <v>35</v>
      </c>
      <c r="C124" s="223" t="s">
        <v>123</v>
      </c>
      <c r="D124" s="223" t="s">
        <v>223</v>
      </c>
      <c r="E124" s="211">
        <v>46021.0</v>
      </c>
      <c r="F124" s="90"/>
    </row>
    <row r="125" ht="22.5" customHeight="1">
      <c r="A125" s="221">
        <v>100.0</v>
      </c>
      <c r="B125" s="224" t="s">
        <v>46</v>
      </c>
      <c r="C125" s="223" t="s">
        <v>224</v>
      </c>
      <c r="D125" s="223" t="s">
        <v>225</v>
      </c>
      <c r="E125" s="211">
        <v>46025.0</v>
      </c>
      <c r="F125" s="90"/>
    </row>
    <row r="126" ht="22.5" customHeight="1">
      <c r="A126" s="221">
        <v>81687.8</v>
      </c>
      <c r="B126" s="224" t="s">
        <v>15</v>
      </c>
      <c r="C126" s="223" t="s">
        <v>135</v>
      </c>
      <c r="D126" s="223" t="s">
        <v>164</v>
      </c>
      <c r="E126" s="211">
        <v>46026.0</v>
      </c>
      <c r="F126" s="90"/>
    </row>
    <row r="127" ht="22.5" customHeight="1">
      <c r="A127" s="221">
        <v>5996.6</v>
      </c>
      <c r="B127" s="224" t="s">
        <v>15</v>
      </c>
      <c r="C127" s="223" t="s">
        <v>130</v>
      </c>
      <c r="D127" s="223" t="s">
        <v>226</v>
      </c>
      <c r="E127" s="211">
        <v>46026.0</v>
      </c>
      <c r="F127" s="90"/>
    </row>
    <row r="128" ht="22.5" customHeight="1">
      <c r="A128" s="221">
        <v>45000.0</v>
      </c>
      <c r="B128" s="224" t="s">
        <v>15</v>
      </c>
      <c r="C128" s="223" t="s">
        <v>128</v>
      </c>
      <c r="D128" s="223" t="s">
        <v>227</v>
      </c>
      <c r="E128" s="211">
        <v>46031.0</v>
      </c>
      <c r="F128" s="90"/>
    </row>
    <row r="129" ht="22.5" customHeight="1">
      <c r="A129" s="221">
        <v>70000.0</v>
      </c>
      <c r="B129" s="224" t="s">
        <v>26</v>
      </c>
      <c r="C129" s="223" t="s">
        <v>155</v>
      </c>
      <c r="D129" s="223" t="s">
        <v>228</v>
      </c>
      <c r="E129" s="211">
        <v>46032.0</v>
      </c>
      <c r="F129" s="90"/>
    </row>
    <row r="130" ht="22.5" customHeight="1">
      <c r="A130" s="221">
        <v>2115.47</v>
      </c>
      <c r="B130" s="224" t="s">
        <v>15</v>
      </c>
      <c r="C130" s="223" t="s">
        <v>130</v>
      </c>
      <c r="D130" s="223" t="s">
        <v>164</v>
      </c>
      <c r="E130" s="211">
        <v>46037.0</v>
      </c>
      <c r="F130" s="90"/>
    </row>
    <row r="131" ht="22.5" customHeight="1">
      <c r="A131" s="221">
        <v>250.0</v>
      </c>
      <c r="B131" s="224" t="s">
        <v>35</v>
      </c>
      <c r="C131" s="223" t="s">
        <v>123</v>
      </c>
      <c r="D131" s="223" t="s">
        <v>229</v>
      </c>
      <c r="E131" s="211">
        <v>46041.0</v>
      </c>
      <c r="F131" s="90"/>
    </row>
    <row r="132" ht="22.5" customHeight="1">
      <c r="A132" s="221">
        <v>500.0</v>
      </c>
      <c r="B132" s="224" t="s">
        <v>35</v>
      </c>
      <c r="C132" s="223" t="s">
        <v>123</v>
      </c>
      <c r="D132" s="223" t="s">
        <v>230</v>
      </c>
      <c r="E132" s="211">
        <v>46072.0</v>
      </c>
      <c r="F132" s="90"/>
    </row>
    <row r="133" ht="22.5" customHeight="1">
      <c r="A133" s="221">
        <v>80000.0</v>
      </c>
      <c r="B133" s="224" t="s">
        <v>15</v>
      </c>
      <c r="C133" s="223" t="s">
        <v>128</v>
      </c>
      <c r="D133" s="223" t="s">
        <v>231</v>
      </c>
      <c r="E133" s="211">
        <v>46039.0</v>
      </c>
      <c r="F133" s="90"/>
    </row>
    <row r="134" ht="22.5" customHeight="1">
      <c r="A134" s="221">
        <v>4624.19</v>
      </c>
      <c r="B134" s="224" t="s">
        <v>15</v>
      </c>
      <c r="C134" s="223" t="s">
        <v>123</v>
      </c>
      <c r="D134" s="223" t="s">
        <v>232</v>
      </c>
      <c r="E134" s="211">
        <v>46038.0</v>
      </c>
      <c r="F134" s="90"/>
    </row>
    <row r="135" ht="22.5" customHeight="1">
      <c r="A135" s="221">
        <v>3000.0</v>
      </c>
      <c r="B135" s="224" t="s">
        <v>15</v>
      </c>
      <c r="C135" s="223" t="s">
        <v>140</v>
      </c>
      <c r="D135" s="223" t="s">
        <v>233</v>
      </c>
      <c r="E135" s="211">
        <v>46040.0</v>
      </c>
      <c r="F135" s="90"/>
    </row>
    <row r="136" ht="22.5" customHeight="1">
      <c r="A136" s="221">
        <v>20000.0</v>
      </c>
      <c r="B136" s="224" t="s">
        <v>15</v>
      </c>
      <c r="C136" s="223" t="s">
        <v>121</v>
      </c>
      <c r="D136" s="223" t="s">
        <v>234</v>
      </c>
      <c r="E136" s="211">
        <v>46043.0</v>
      </c>
      <c r="F136" s="90"/>
    </row>
    <row r="137" ht="22.5" customHeight="1">
      <c r="A137" s="221">
        <v>81686.68</v>
      </c>
      <c r="B137" s="224" t="s">
        <v>15</v>
      </c>
      <c r="C137" s="223" t="s">
        <v>135</v>
      </c>
      <c r="D137" s="223" t="s">
        <v>164</v>
      </c>
      <c r="E137" s="211">
        <v>46061.0</v>
      </c>
      <c r="F137" s="90"/>
    </row>
    <row r="138" ht="22.5" customHeight="1">
      <c r="A138" s="221">
        <v>20000.0</v>
      </c>
      <c r="B138" s="224" t="s">
        <v>15</v>
      </c>
      <c r="C138" s="223" t="s">
        <v>140</v>
      </c>
      <c r="D138" s="223" t="s">
        <v>235</v>
      </c>
      <c r="E138" s="211">
        <v>46061.0</v>
      </c>
      <c r="F138" s="90"/>
    </row>
    <row r="139" ht="22.5" customHeight="1">
      <c r="A139" s="221">
        <v>357.12</v>
      </c>
      <c r="B139" s="224" t="s">
        <v>15</v>
      </c>
      <c r="C139" s="223" t="s">
        <v>130</v>
      </c>
      <c r="D139" s="223" t="s">
        <v>164</v>
      </c>
      <c r="E139" s="211">
        <v>46062.0</v>
      </c>
      <c r="F139" s="90"/>
    </row>
    <row r="140" ht="22.5" customHeight="1">
      <c r="A140" s="221">
        <v>295.0</v>
      </c>
      <c r="B140" s="224" t="s">
        <v>35</v>
      </c>
      <c r="C140" s="223" t="s">
        <v>140</v>
      </c>
      <c r="D140" s="223" t="s">
        <v>236</v>
      </c>
      <c r="E140" s="211">
        <v>46095.0</v>
      </c>
      <c r="F140" s="90"/>
    </row>
    <row r="141" ht="22.5" customHeight="1">
      <c r="A141" s="221">
        <v>981.53</v>
      </c>
      <c r="B141" s="224" t="s">
        <v>35</v>
      </c>
      <c r="C141" s="223" t="s">
        <v>123</v>
      </c>
      <c r="D141" s="223" t="s">
        <v>237</v>
      </c>
      <c r="E141" s="211">
        <v>46095.0</v>
      </c>
      <c r="F141" s="90"/>
    </row>
    <row r="142" ht="22.5" customHeight="1">
      <c r="A142" s="221">
        <v>76.0</v>
      </c>
      <c r="B142" s="224" t="s">
        <v>35</v>
      </c>
      <c r="C142" s="223" t="s">
        <v>140</v>
      </c>
      <c r="D142" s="223" t="s">
        <v>238</v>
      </c>
      <c r="E142" s="211">
        <v>46095.0</v>
      </c>
      <c r="F142" s="90"/>
    </row>
    <row r="143" ht="22.5" customHeight="1">
      <c r="A143" s="221">
        <v>81687.24</v>
      </c>
      <c r="B143" s="224" t="s">
        <v>15</v>
      </c>
      <c r="C143" s="223" t="s">
        <v>135</v>
      </c>
      <c r="D143" s="223" t="s">
        <v>164</v>
      </c>
      <c r="E143" s="211">
        <v>46101.0</v>
      </c>
      <c r="F143" s="90"/>
    </row>
    <row r="144" ht="22.5" customHeight="1">
      <c r="A144" s="221">
        <v>15000.0</v>
      </c>
      <c r="B144" s="224" t="s">
        <v>15</v>
      </c>
      <c r="C144" s="223" t="s">
        <v>140</v>
      </c>
      <c r="D144" s="223" t="s">
        <v>239</v>
      </c>
      <c r="E144" s="211">
        <v>46105.0</v>
      </c>
      <c r="F144" s="90"/>
    </row>
    <row r="145" ht="22.5" customHeight="1">
      <c r="A145" s="221">
        <v>240.0</v>
      </c>
      <c r="B145" s="224" t="s">
        <v>35</v>
      </c>
      <c r="C145" s="223" t="s">
        <v>140</v>
      </c>
      <c r="D145" s="223" t="s">
        <v>240</v>
      </c>
      <c r="E145" s="211">
        <v>46108.0</v>
      </c>
      <c r="F145" s="90"/>
    </row>
    <row r="146" ht="22.5" customHeight="1">
      <c r="A146" s="221">
        <v>166.0</v>
      </c>
      <c r="B146" s="224" t="s">
        <v>35</v>
      </c>
      <c r="C146" s="223" t="s">
        <v>123</v>
      </c>
      <c r="D146" s="223" t="s">
        <v>241</v>
      </c>
      <c r="E146" s="211">
        <v>46115.0</v>
      </c>
      <c r="F146" s="90"/>
    </row>
    <row r="147" ht="22.5" customHeight="1">
      <c r="A147" s="221">
        <v>500.0</v>
      </c>
      <c r="B147" s="224" t="s">
        <v>46</v>
      </c>
      <c r="C147" s="223" t="s">
        <v>123</v>
      </c>
      <c r="D147" s="223" t="s">
        <v>242</v>
      </c>
      <c r="E147" s="211">
        <v>46116.0</v>
      </c>
      <c r="F147" s="90"/>
    </row>
    <row r="148" ht="22.5" customHeight="1">
      <c r="A148" s="221">
        <v>60000.0</v>
      </c>
      <c r="B148" s="224" t="s">
        <v>26</v>
      </c>
      <c r="C148" s="223" t="s">
        <v>140</v>
      </c>
      <c r="D148" s="223" t="s">
        <v>243</v>
      </c>
      <c r="E148" s="211">
        <v>46116.0</v>
      </c>
      <c r="F148" s="90"/>
    </row>
    <row r="149" ht="22.5" customHeight="1">
      <c r="A149" s="221">
        <v>1534.69</v>
      </c>
      <c r="B149" s="224" t="s">
        <v>15</v>
      </c>
      <c r="C149" s="223" t="s">
        <v>125</v>
      </c>
      <c r="D149" s="223" t="s">
        <v>164</v>
      </c>
      <c r="E149" s="211">
        <v>46116.0</v>
      </c>
      <c r="F149" s="90"/>
    </row>
    <row r="150" ht="22.5" customHeight="1">
      <c r="A150" s="233"/>
      <c r="B150" s="234"/>
      <c r="C150" s="227"/>
      <c r="D150" s="226"/>
      <c r="E150" s="235"/>
      <c r="F150" s="90"/>
    </row>
    <row r="151" ht="22.5" customHeight="1">
      <c r="A151" s="233"/>
      <c r="B151" s="234"/>
      <c r="C151" s="227"/>
      <c r="D151" s="226"/>
      <c r="E151" s="235"/>
      <c r="F151" s="90"/>
    </row>
    <row r="152" ht="22.5" customHeight="1">
      <c r="A152" s="233"/>
      <c r="B152" s="234"/>
      <c r="C152" s="227"/>
      <c r="D152" s="226"/>
      <c r="E152" s="235"/>
      <c r="F152" s="90"/>
    </row>
    <row r="153" ht="22.5" customHeight="1">
      <c r="A153" s="233"/>
      <c r="B153" s="234"/>
      <c r="C153" s="227"/>
      <c r="D153" s="226"/>
      <c r="E153" s="235"/>
      <c r="F153" s="90"/>
    </row>
    <row r="154" ht="22.5" customHeight="1">
      <c r="A154" s="233"/>
      <c r="B154" s="234"/>
      <c r="C154" s="227"/>
      <c r="D154" s="226"/>
      <c r="E154" s="235"/>
      <c r="F154" s="90"/>
    </row>
    <row r="155" ht="22.5" customHeight="1">
      <c r="A155" s="233"/>
      <c r="B155" s="234"/>
      <c r="C155" s="227"/>
      <c r="D155" s="226"/>
      <c r="E155" s="235"/>
      <c r="F155" s="90"/>
    </row>
    <row r="156" ht="22.5" customHeight="1">
      <c r="A156" s="233"/>
      <c r="B156" s="234"/>
      <c r="C156" s="227"/>
      <c r="D156" s="226"/>
      <c r="E156" s="235"/>
      <c r="F156" s="90"/>
    </row>
    <row r="157" ht="22.5" customHeight="1">
      <c r="A157" s="233"/>
      <c r="B157" s="234"/>
      <c r="C157" s="227"/>
      <c r="D157" s="226"/>
      <c r="E157" s="235"/>
      <c r="F157" s="90"/>
    </row>
    <row r="158" ht="22.5" customHeight="1">
      <c r="A158" s="233"/>
      <c r="B158" s="234"/>
      <c r="C158" s="227"/>
      <c r="D158" s="226"/>
      <c r="E158" s="235"/>
      <c r="F158" s="90"/>
    </row>
    <row r="159" ht="22.5" customHeight="1">
      <c r="A159" s="233"/>
      <c r="B159" s="234"/>
      <c r="C159" s="227"/>
      <c r="D159" s="226"/>
      <c r="E159" s="235"/>
      <c r="F159" s="90"/>
    </row>
    <row r="160" ht="22.5" customHeight="1">
      <c r="A160" s="233"/>
      <c r="B160" s="234"/>
      <c r="C160" s="227"/>
      <c r="D160" s="226"/>
      <c r="E160" s="235"/>
      <c r="F160" s="90"/>
    </row>
    <row r="161" ht="22.5" customHeight="1">
      <c r="A161" s="233"/>
      <c r="B161" s="234"/>
      <c r="C161" s="227"/>
      <c r="D161" s="226"/>
      <c r="E161" s="235"/>
      <c r="F161" s="90"/>
    </row>
    <row r="162" ht="22.5" customHeight="1">
      <c r="A162" s="233"/>
      <c r="B162" s="234"/>
      <c r="C162" s="227"/>
      <c r="D162" s="226"/>
      <c r="E162" s="235"/>
      <c r="F162" s="90"/>
    </row>
    <row r="163" ht="22.5" customHeight="1">
      <c r="A163" s="233"/>
      <c r="B163" s="234"/>
      <c r="C163" s="227"/>
      <c r="D163" s="226"/>
      <c r="E163" s="235"/>
      <c r="F163" s="90"/>
    </row>
    <row r="164" ht="22.5" customHeight="1">
      <c r="A164" s="233"/>
      <c r="B164" s="234"/>
      <c r="C164" s="227"/>
      <c r="D164" s="226"/>
      <c r="E164" s="235"/>
      <c r="F164" s="90"/>
    </row>
    <row r="165" ht="22.5" customHeight="1">
      <c r="A165" s="233"/>
      <c r="B165" s="234"/>
      <c r="C165" s="227"/>
      <c r="D165" s="226"/>
      <c r="E165" s="235"/>
      <c r="F165" s="90"/>
    </row>
    <row r="166" ht="22.5" customHeight="1">
      <c r="A166" s="233"/>
      <c r="B166" s="234"/>
      <c r="C166" s="227"/>
      <c r="D166" s="226"/>
      <c r="E166" s="235"/>
      <c r="F166" s="90"/>
    </row>
    <row r="167" ht="22.5" customHeight="1">
      <c r="A167" s="233"/>
      <c r="B167" s="234"/>
      <c r="C167" s="227"/>
      <c r="D167" s="226"/>
      <c r="E167" s="235"/>
      <c r="F167" s="90"/>
    </row>
    <row r="168" ht="22.5" customHeight="1">
      <c r="A168" s="233"/>
      <c r="B168" s="234"/>
      <c r="C168" s="227"/>
      <c r="D168" s="226"/>
      <c r="E168" s="235"/>
      <c r="F168" s="90"/>
    </row>
    <row r="169" ht="22.5" customHeight="1">
      <c r="A169" s="233"/>
      <c r="B169" s="234"/>
      <c r="C169" s="227"/>
      <c r="D169" s="226"/>
      <c r="E169" s="235"/>
      <c r="F169" s="90"/>
    </row>
    <row r="170" ht="22.5" customHeight="1">
      <c r="A170" s="233"/>
      <c r="B170" s="234"/>
      <c r="C170" s="227"/>
      <c r="D170" s="226"/>
      <c r="E170" s="235"/>
      <c r="F170" s="90"/>
    </row>
    <row r="171" ht="22.5" customHeight="1">
      <c r="A171" s="233"/>
      <c r="B171" s="234"/>
      <c r="C171" s="227"/>
      <c r="D171" s="226"/>
      <c r="E171" s="235"/>
      <c r="F171" s="90"/>
    </row>
    <row r="172" ht="22.5" customHeight="1">
      <c r="A172" s="233"/>
      <c r="B172" s="234"/>
      <c r="C172" s="227"/>
      <c r="D172" s="226"/>
      <c r="E172" s="235"/>
      <c r="F172" s="90"/>
    </row>
    <row r="173" ht="22.5" customHeight="1">
      <c r="A173" s="233"/>
      <c r="B173" s="234"/>
      <c r="C173" s="227"/>
      <c r="D173" s="226"/>
      <c r="E173" s="235"/>
      <c r="F173" s="90"/>
    </row>
    <row r="174" ht="22.5" customHeight="1">
      <c r="A174" s="233"/>
      <c r="B174" s="234"/>
      <c r="C174" s="227"/>
      <c r="D174" s="226"/>
      <c r="E174" s="235"/>
      <c r="F174" s="90"/>
    </row>
    <row r="175" ht="22.5" customHeight="1">
      <c r="A175" s="233"/>
      <c r="B175" s="234"/>
      <c r="C175" s="227"/>
      <c r="D175" s="226"/>
      <c r="E175" s="235"/>
      <c r="F175" s="90"/>
    </row>
    <row r="176" ht="22.5" customHeight="1">
      <c r="A176" s="233"/>
      <c r="B176" s="234"/>
      <c r="C176" s="227"/>
      <c r="D176" s="226"/>
      <c r="E176" s="235"/>
      <c r="F176" s="90"/>
    </row>
    <row r="177" ht="22.5" customHeight="1">
      <c r="A177" s="233"/>
      <c r="B177" s="234"/>
      <c r="C177" s="227"/>
      <c r="D177" s="226"/>
      <c r="E177" s="235"/>
      <c r="F177" s="90"/>
    </row>
    <row r="178" ht="22.5" customHeight="1">
      <c r="A178" s="233"/>
      <c r="B178" s="234"/>
      <c r="C178" s="227"/>
      <c r="D178" s="226"/>
      <c r="E178" s="235"/>
      <c r="F178" s="90"/>
    </row>
    <row r="179" ht="22.5" customHeight="1">
      <c r="A179" s="233"/>
      <c r="B179" s="234"/>
      <c r="C179" s="227"/>
      <c r="D179" s="226"/>
      <c r="E179" s="235"/>
      <c r="F179" s="90"/>
    </row>
    <row r="180" ht="22.5" customHeight="1">
      <c r="A180" s="233"/>
      <c r="B180" s="234"/>
      <c r="C180" s="227"/>
      <c r="D180" s="226"/>
      <c r="E180" s="235"/>
      <c r="F180" s="90"/>
    </row>
    <row r="181" ht="22.5" customHeight="1">
      <c r="A181" s="233"/>
      <c r="B181" s="234"/>
      <c r="C181" s="227"/>
      <c r="D181" s="226"/>
      <c r="E181" s="235"/>
      <c r="F181" s="90"/>
    </row>
    <row r="182" ht="22.5" customHeight="1">
      <c r="A182" s="233"/>
      <c r="B182" s="234"/>
      <c r="C182" s="227"/>
      <c r="D182" s="226"/>
      <c r="E182" s="235"/>
      <c r="F182" s="90"/>
    </row>
    <row r="183" ht="22.5" customHeight="1">
      <c r="A183" s="233"/>
      <c r="B183" s="234"/>
      <c r="C183" s="227"/>
      <c r="D183" s="226"/>
      <c r="E183" s="235"/>
      <c r="F183" s="90"/>
    </row>
    <row r="184" ht="22.5" customHeight="1">
      <c r="A184" s="233"/>
      <c r="B184" s="234"/>
      <c r="C184" s="227"/>
      <c r="D184" s="226"/>
      <c r="E184" s="235"/>
      <c r="F184" s="90"/>
    </row>
    <row r="185" ht="22.5" customHeight="1">
      <c r="A185" s="233"/>
      <c r="B185" s="234"/>
      <c r="C185" s="227"/>
      <c r="D185" s="226"/>
      <c r="E185" s="235"/>
      <c r="F185" s="90"/>
    </row>
    <row r="186" ht="22.5" customHeight="1">
      <c r="A186" s="233"/>
      <c r="B186" s="234"/>
      <c r="C186" s="227"/>
      <c r="D186" s="226"/>
      <c r="E186" s="235"/>
      <c r="F186" s="90"/>
    </row>
    <row r="187" ht="22.5" customHeight="1">
      <c r="A187" s="233"/>
      <c r="B187" s="234"/>
      <c r="C187" s="227"/>
      <c r="D187" s="226"/>
      <c r="E187" s="235"/>
      <c r="F187" s="90"/>
    </row>
    <row r="188" ht="22.5" customHeight="1">
      <c r="A188" s="233"/>
      <c r="B188" s="234"/>
      <c r="C188" s="227"/>
      <c r="D188" s="226"/>
      <c r="E188" s="235"/>
      <c r="F188" s="90"/>
    </row>
    <row r="189" ht="22.5" customHeight="1">
      <c r="A189" s="233"/>
      <c r="B189" s="234"/>
      <c r="C189" s="227"/>
      <c r="D189" s="226"/>
      <c r="E189" s="235"/>
      <c r="F189" s="90"/>
    </row>
    <row r="190" ht="22.5" customHeight="1">
      <c r="A190" s="233"/>
      <c r="B190" s="234"/>
      <c r="C190" s="227"/>
      <c r="D190" s="226"/>
      <c r="E190" s="235"/>
      <c r="F190" s="90"/>
    </row>
    <row r="191" ht="22.5" customHeight="1">
      <c r="A191" s="233"/>
      <c r="B191" s="234"/>
      <c r="C191" s="227"/>
      <c r="D191" s="226"/>
      <c r="E191" s="235"/>
      <c r="F191" s="90"/>
    </row>
    <row r="192" ht="22.5" customHeight="1">
      <c r="A192" s="233"/>
      <c r="B192" s="234"/>
      <c r="C192" s="227"/>
      <c r="D192" s="226"/>
      <c r="E192" s="235"/>
      <c r="F192" s="90"/>
    </row>
    <row r="193" ht="22.5" customHeight="1">
      <c r="A193" s="233"/>
      <c r="B193" s="234"/>
      <c r="C193" s="227"/>
      <c r="D193" s="226"/>
      <c r="E193" s="235"/>
      <c r="F193" s="90"/>
    </row>
    <row r="194" ht="22.5" customHeight="1">
      <c r="A194" s="233"/>
      <c r="B194" s="234"/>
      <c r="C194" s="227"/>
      <c r="D194" s="226"/>
      <c r="E194" s="235"/>
      <c r="F194" s="90"/>
    </row>
    <row r="195" ht="22.5" customHeight="1">
      <c r="A195" s="233"/>
      <c r="B195" s="234"/>
      <c r="C195" s="227"/>
      <c r="D195" s="226"/>
      <c r="E195" s="235"/>
      <c r="F195" s="90"/>
    </row>
    <row r="196" ht="22.5" customHeight="1">
      <c r="A196" s="233"/>
      <c r="B196" s="234"/>
      <c r="C196" s="227"/>
      <c r="D196" s="226"/>
      <c r="E196" s="235"/>
      <c r="F196" s="90"/>
    </row>
    <row r="197" ht="22.5" customHeight="1">
      <c r="A197" s="233"/>
      <c r="B197" s="234"/>
      <c r="C197" s="227"/>
      <c r="D197" s="226"/>
      <c r="E197" s="235"/>
      <c r="F197" s="90"/>
    </row>
    <row r="198" ht="22.5" customHeight="1">
      <c r="A198" s="233"/>
      <c r="B198" s="234"/>
      <c r="C198" s="227"/>
      <c r="D198" s="226"/>
      <c r="E198" s="235"/>
      <c r="F198" s="90"/>
    </row>
    <row r="199" ht="22.5" customHeight="1">
      <c r="A199" s="233"/>
      <c r="B199" s="234"/>
      <c r="C199" s="227"/>
      <c r="D199" s="226"/>
      <c r="E199" s="235"/>
      <c r="F199" s="90"/>
    </row>
    <row r="200" ht="22.5" customHeight="1">
      <c r="A200" s="233"/>
      <c r="B200" s="234"/>
      <c r="C200" s="227"/>
      <c r="D200" s="226"/>
      <c r="E200" s="235"/>
      <c r="F200" s="90"/>
    </row>
    <row r="201" ht="22.5" customHeight="1">
      <c r="A201" s="233"/>
      <c r="B201" s="234"/>
      <c r="C201" s="227"/>
      <c r="D201" s="226"/>
      <c r="E201" s="235"/>
      <c r="F201" s="90"/>
    </row>
    <row r="202" ht="22.5" customHeight="1">
      <c r="A202" s="233"/>
      <c r="B202" s="234"/>
      <c r="C202" s="227"/>
      <c r="D202" s="226"/>
      <c r="E202" s="235"/>
      <c r="F202" s="90"/>
    </row>
    <row r="203" ht="22.5" customHeight="1">
      <c r="A203" s="233"/>
      <c r="B203" s="234"/>
      <c r="C203" s="227"/>
      <c r="D203" s="226"/>
      <c r="E203" s="235"/>
      <c r="F203" s="90"/>
    </row>
    <row r="204" ht="22.5" customHeight="1">
      <c r="A204" s="233"/>
      <c r="B204" s="234"/>
      <c r="C204" s="227"/>
      <c r="D204" s="226"/>
      <c r="E204" s="235"/>
      <c r="F204" s="90"/>
    </row>
    <row r="205" ht="22.5" customHeight="1">
      <c r="A205" s="233"/>
      <c r="B205" s="234"/>
      <c r="C205" s="227"/>
      <c r="D205" s="226"/>
      <c r="E205" s="235"/>
      <c r="F205" s="90"/>
    </row>
    <row r="206" ht="22.5" customHeight="1">
      <c r="A206" s="233"/>
      <c r="B206" s="234"/>
      <c r="C206" s="227"/>
      <c r="D206" s="226"/>
      <c r="E206" s="235"/>
      <c r="F206" s="90"/>
    </row>
    <row r="207" ht="22.5" customHeight="1">
      <c r="A207" s="233"/>
      <c r="B207" s="234"/>
      <c r="C207" s="227"/>
      <c r="D207" s="226"/>
      <c r="E207" s="235"/>
      <c r="F207" s="90"/>
    </row>
    <row r="208" ht="22.5" customHeight="1">
      <c r="A208" s="233"/>
      <c r="B208" s="234"/>
      <c r="C208" s="227"/>
      <c r="D208" s="226"/>
      <c r="E208" s="235"/>
      <c r="F208" s="90"/>
    </row>
    <row r="209" ht="22.5" customHeight="1">
      <c r="A209" s="233"/>
      <c r="B209" s="234"/>
      <c r="C209" s="227"/>
      <c r="D209" s="226"/>
      <c r="E209" s="235"/>
      <c r="F209" s="90"/>
    </row>
    <row r="210" ht="22.5" customHeight="1">
      <c r="A210" s="233"/>
      <c r="B210" s="234"/>
      <c r="C210" s="227"/>
      <c r="D210" s="226"/>
      <c r="E210" s="235"/>
      <c r="F210" s="90"/>
    </row>
    <row r="211" ht="22.5" customHeight="1">
      <c r="A211" s="233"/>
      <c r="B211" s="234"/>
      <c r="C211" s="227"/>
      <c r="D211" s="226"/>
      <c r="E211" s="235"/>
      <c r="F211" s="90"/>
    </row>
    <row r="212" ht="22.5" customHeight="1">
      <c r="A212" s="233"/>
      <c r="B212" s="234"/>
      <c r="C212" s="227"/>
      <c r="D212" s="226"/>
      <c r="E212" s="235"/>
      <c r="F212" s="90"/>
    </row>
    <row r="213" ht="22.5" customHeight="1">
      <c r="A213" s="233"/>
      <c r="B213" s="234"/>
      <c r="C213" s="227"/>
      <c r="D213" s="226"/>
      <c r="E213" s="235"/>
      <c r="F213" s="90"/>
    </row>
    <row r="214" ht="22.5" customHeight="1">
      <c r="A214" s="233"/>
      <c r="B214" s="234"/>
      <c r="C214" s="227"/>
      <c r="D214" s="226"/>
      <c r="E214" s="235"/>
      <c r="F214" s="90"/>
    </row>
    <row r="215" ht="22.5" customHeight="1">
      <c r="A215" s="233"/>
      <c r="B215" s="234"/>
      <c r="C215" s="227"/>
      <c r="D215" s="226"/>
      <c r="E215" s="235"/>
      <c r="F215" s="90"/>
    </row>
    <row r="216" ht="22.5" customHeight="1">
      <c r="A216" s="233"/>
      <c r="B216" s="234"/>
      <c r="C216" s="227"/>
      <c r="D216" s="226"/>
      <c r="E216" s="235"/>
      <c r="F216" s="90"/>
    </row>
    <row r="217" ht="22.5" customHeight="1">
      <c r="A217" s="233"/>
      <c r="B217" s="234"/>
      <c r="C217" s="227"/>
      <c r="D217" s="226"/>
      <c r="E217" s="235"/>
      <c r="F217" s="90"/>
    </row>
    <row r="218" ht="22.5" customHeight="1">
      <c r="A218" s="233"/>
      <c r="B218" s="234"/>
      <c r="C218" s="227"/>
      <c r="D218" s="226"/>
      <c r="E218" s="235"/>
      <c r="F218" s="90"/>
    </row>
    <row r="219" ht="22.5" customHeight="1">
      <c r="A219" s="233"/>
      <c r="B219" s="234"/>
      <c r="C219" s="227"/>
      <c r="D219" s="226"/>
      <c r="E219" s="235"/>
      <c r="F219" s="90"/>
    </row>
    <row r="220" ht="22.5" customHeight="1">
      <c r="A220" s="233"/>
      <c r="B220" s="234"/>
      <c r="C220" s="227"/>
      <c r="D220" s="226"/>
      <c r="E220" s="235"/>
      <c r="F220" s="90"/>
    </row>
    <row r="221" ht="22.5" customHeight="1">
      <c r="A221" s="233"/>
      <c r="B221" s="234"/>
      <c r="C221" s="227"/>
      <c r="D221" s="226"/>
      <c r="E221" s="235"/>
      <c r="F221" s="90"/>
    </row>
    <row r="222" ht="22.5" customHeight="1">
      <c r="A222" s="233"/>
      <c r="B222" s="234"/>
      <c r="C222" s="227"/>
      <c r="D222" s="226"/>
      <c r="E222" s="235"/>
      <c r="F222" s="90"/>
    </row>
    <row r="223" ht="22.5" customHeight="1">
      <c r="A223" s="233"/>
      <c r="B223" s="234"/>
      <c r="C223" s="227"/>
      <c r="D223" s="226"/>
      <c r="E223" s="235"/>
      <c r="F223" s="90"/>
    </row>
    <row r="224" ht="22.5" customHeight="1">
      <c r="A224" s="233"/>
      <c r="B224" s="234"/>
      <c r="C224" s="227"/>
      <c r="D224" s="226"/>
      <c r="E224" s="235"/>
      <c r="F224" s="90"/>
    </row>
    <row r="225" ht="22.5" customHeight="1">
      <c r="A225" s="233"/>
      <c r="B225" s="234"/>
      <c r="C225" s="227"/>
      <c r="D225" s="226"/>
      <c r="E225" s="235"/>
      <c r="F225" s="90"/>
    </row>
    <row r="226" ht="22.5" customHeight="1">
      <c r="A226" s="233"/>
      <c r="B226" s="234"/>
      <c r="C226" s="227"/>
      <c r="D226" s="226"/>
      <c r="E226" s="235"/>
      <c r="F226" s="90"/>
    </row>
    <row r="227" ht="22.5" customHeight="1">
      <c r="A227" s="233"/>
      <c r="B227" s="234"/>
      <c r="C227" s="227"/>
      <c r="D227" s="226"/>
      <c r="E227" s="235"/>
      <c r="F227" s="90"/>
    </row>
    <row r="228" ht="22.5" customHeight="1">
      <c r="A228" s="233"/>
      <c r="B228" s="234"/>
      <c r="C228" s="227"/>
      <c r="D228" s="226"/>
      <c r="E228" s="235"/>
      <c r="F228" s="90"/>
    </row>
    <row r="229" ht="22.5" customHeight="1">
      <c r="A229" s="233"/>
      <c r="B229" s="234"/>
      <c r="C229" s="227"/>
      <c r="D229" s="226"/>
      <c r="E229" s="235"/>
      <c r="F229" s="90"/>
    </row>
    <row r="230" ht="22.5" customHeight="1">
      <c r="A230" s="233"/>
      <c r="B230" s="234"/>
      <c r="C230" s="227"/>
      <c r="D230" s="226"/>
      <c r="E230" s="235"/>
      <c r="F230" s="90"/>
    </row>
    <row r="231" ht="22.5" customHeight="1">
      <c r="A231" s="233"/>
      <c r="B231" s="234"/>
      <c r="C231" s="227"/>
      <c r="D231" s="226"/>
      <c r="E231" s="235"/>
      <c r="F231" s="90"/>
    </row>
    <row r="232" ht="22.5" customHeight="1">
      <c r="A232" s="233"/>
      <c r="B232" s="234"/>
      <c r="C232" s="227"/>
      <c r="D232" s="226"/>
      <c r="E232" s="235"/>
      <c r="F232" s="90"/>
    </row>
    <row r="233" ht="22.5" customHeight="1">
      <c r="A233" s="233"/>
      <c r="B233" s="234"/>
      <c r="C233" s="227"/>
      <c r="D233" s="226"/>
      <c r="E233" s="235"/>
      <c r="F233" s="90"/>
    </row>
    <row r="234" ht="22.5" customHeight="1">
      <c r="A234" s="233"/>
      <c r="B234" s="234"/>
      <c r="C234" s="227"/>
      <c r="D234" s="226"/>
      <c r="E234" s="235"/>
      <c r="F234" s="90"/>
    </row>
    <row r="235" ht="22.5" customHeight="1">
      <c r="A235" s="233"/>
      <c r="B235" s="234"/>
      <c r="C235" s="227"/>
      <c r="D235" s="226"/>
      <c r="E235" s="235"/>
      <c r="F235" s="90"/>
    </row>
    <row r="236" ht="22.5" customHeight="1">
      <c r="A236" s="233"/>
      <c r="B236" s="234"/>
      <c r="C236" s="227"/>
      <c r="D236" s="226"/>
      <c r="E236" s="235"/>
      <c r="F236" s="90"/>
    </row>
    <row r="237" ht="22.5" customHeight="1">
      <c r="A237" s="233"/>
      <c r="B237" s="234"/>
      <c r="C237" s="227"/>
      <c r="D237" s="226"/>
      <c r="E237" s="235"/>
      <c r="F237" s="90"/>
    </row>
    <row r="238" ht="22.5" customHeight="1">
      <c r="A238" s="233"/>
      <c r="B238" s="234"/>
      <c r="C238" s="227"/>
      <c r="D238" s="226"/>
      <c r="E238" s="235"/>
      <c r="F238" s="90"/>
    </row>
    <row r="239" ht="22.5" customHeight="1">
      <c r="A239" s="233"/>
      <c r="B239" s="234"/>
      <c r="C239" s="227"/>
      <c r="D239" s="226"/>
      <c r="E239" s="235"/>
      <c r="F239" s="90"/>
    </row>
    <row r="240" ht="22.5" customHeight="1">
      <c r="A240" s="233"/>
      <c r="B240" s="234"/>
      <c r="C240" s="227"/>
      <c r="D240" s="226"/>
      <c r="E240" s="235"/>
      <c r="F240" s="90"/>
    </row>
    <row r="241" ht="22.5" customHeight="1">
      <c r="A241" s="233"/>
      <c r="B241" s="234"/>
      <c r="C241" s="227"/>
      <c r="D241" s="226"/>
      <c r="E241" s="235"/>
      <c r="F241" s="90"/>
    </row>
    <row r="242" ht="22.5" customHeight="1">
      <c r="A242" s="233"/>
      <c r="B242" s="234"/>
      <c r="C242" s="227"/>
      <c r="D242" s="226"/>
      <c r="E242" s="235"/>
      <c r="F242" s="90"/>
    </row>
    <row r="243" ht="22.5" customHeight="1">
      <c r="A243" s="233"/>
      <c r="B243" s="234"/>
      <c r="C243" s="227"/>
      <c r="D243" s="226"/>
      <c r="E243" s="235"/>
      <c r="F243" s="90"/>
    </row>
    <row r="244" ht="22.5" customHeight="1">
      <c r="A244" s="233"/>
      <c r="B244" s="234"/>
      <c r="C244" s="227"/>
      <c r="D244" s="226"/>
      <c r="E244" s="235"/>
      <c r="F244" s="90"/>
    </row>
    <row r="245" ht="22.5" customHeight="1">
      <c r="A245" s="233"/>
      <c r="B245" s="234"/>
      <c r="C245" s="227"/>
      <c r="D245" s="226"/>
      <c r="E245" s="235"/>
      <c r="F245" s="90"/>
    </row>
    <row r="246" ht="22.5" customHeight="1">
      <c r="A246" s="233"/>
      <c r="B246" s="234"/>
      <c r="C246" s="227"/>
      <c r="D246" s="226"/>
      <c r="E246" s="235"/>
      <c r="F246" s="90"/>
    </row>
    <row r="247" ht="22.5" customHeight="1">
      <c r="A247" s="233"/>
      <c r="B247" s="234"/>
      <c r="C247" s="227"/>
      <c r="D247" s="226"/>
      <c r="E247" s="235"/>
      <c r="F247" s="90"/>
    </row>
    <row r="248" ht="22.5" customHeight="1">
      <c r="A248" s="233"/>
      <c r="B248" s="234"/>
      <c r="C248" s="227"/>
      <c r="D248" s="226"/>
      <c r="E248" s="235"/>
      <c r="F248" s="90"/>
    </row>
    <row r="249" ht="22.5" customHeight="1">
      <c r="A249" s="233"/>
      <c r="B249" s="234"/>
      <c r="C249" s="227"/>
      <c r="D249" s="226"/>
      <c r="E249" s="235"/>
      <c r="F249" s="90"/>
    </row>
    <row r="250" ht="22.5" customHeight="1">
      <c r="A250" s="233"/>
      <c r="B250" s="234"/>
      <c r="C250" s="227"/>
      <c r="D250" s="226"/>
      <c r="E250" s="235"/>
      <c r="F250" s="90"/>
    </row>
    <row r="251" ht="22.5" customHeight="1">
      <c r="A251" s="233"/>
      <c r="B251" s="234"/>
      <c r="C251" s="227"/>
      <c r="D251" s="226"/>
      <c r="E251" s="235"/>
      <c r="F251" s="90"/>
    </row>
    <row r="252" ht="22.5" customHeight="1">
      <c r="A252" s="233"/>
      <c r="B252" s="234"/>
      <c r="C252" s="227"/>
      <c r="D252" s="226"/>
      <c r="E252" s="235"/>
      <c r="F252" s="90"/>
    </row>
    <row r="253" ht="22.5" customHeight="1">
      <c r="A253" s="233"/>
      <c r="B253" s="234"/>
      <c r="C253" s="227"/>
      <c r="D253" s="226"/>
      <c r="E253" s="235"/>
      <c r="F253" s="90"/>
    </row>
    <row r="254" ht="22.5" customHeight="1">
      <c r="A254" s="233"/>
      <c r="B254" s="234"/>
      <c r="C254" s="227"/>
      <c r="D254" s="226"/>
      <c r="E254" s="235"/>
      <c r="F254" s="90"/>
    </row>
    <row r="255" ht="22.5" customHeight="1">
      <c r="A255" s="233"/>
      <c r="B255" s="234"/>
      <c r="C255" s="227"/>
      <c r="D255" s="226"/>
      <c r="E255" s="235"/>
      <c r="F255" s="90"/>
    </row>
    <row r="256" ht="22.5" customHeight="1">
      <c r="A256" s="233"/>
      <c r="B256" s="234"/>
      <c r="C256" s="227"/>
      <c r="D256" s="226"/>
      <c r="E256" s="235"/>
      <c r="F256" s="90"/>
    </row>
    <row r="257" ht="22.5" customHeight="1">
      <c r="A257" s="233"/>
      <c r="B257" s="234"/>
      <c r="C257" s="227"/>
      <c r="D257" s="226"/>
      <c r="E257" s="235"/>
      <c r="F257" s="90"/>
    </row>
    <row r="258" ht="22.5" customHeight="1">
      <c r="A258" s="233"/>
      <c r="B258" s="234"/>
      <c r="C258" s="227"/>
      <c r="D258" s="226"/>
      <c r="E258" s="235"/>
      <c r="F258" s="90"/>
    </row>
    <row r="259" ht="22.5" customHeight="1">
      <c r="A259" s="233"/>
      <c r="B259" s="234"/>
      <c r="C259" s="227"/>
      <c r="D259" s="226"/>
      <c r="E259" s="235"/>
      <c r="F259" s="90"/>
    </row>
    <row r="260" ht="22.5" customHeight="1">
      <c r="A260" s="233"/>
      <c r="B260" s="234"/>
      <c r="C260" s="227"/>
      <c r="D260" s="226"/>
      <c r="E260" s="235"/>
      <c r="F260" s="90"/>
    </row>
    <row r="261" ht="22.5" customHeight="1">
      <c r="A261" s="233"/>
      <c r="B261" s="234"/>
      <c r="C261" s="227"/>
      <c r="D261" s="226"/>
      <c r="E261" s="235"/>
      <c r="F261" s="90"/>
    </row>
    <row r="262" ht="22.5" customHeight="1">
      <c r="A262" s="233"/>
      <c r="B262" s="234"/>
      <c r="C262" s="227"/>
      <c r="D262" s="226"/>
      <c r="E262" s="235"/>
      <c r="F262" s="90"/>
    </row>
    <row r="263" ht="22.5" customHeight="1">
      <c r="A263" s="233"/>
      <c r="B263" s="234"/>
      <c r="C263" s="227"/>
      <c r="D263" s="226"/>
      <c r="E263" s="235"/>
      <c r="F263" s="90"/>
    </row>
    <row r="264" ht="22.5" customHeight="1">
      <c r="A264" s="233"/>
      <c r="B264" s="234"/>
      <c r="C264" s="227"/>
      <c r="D264" s="226"/>
      <c r="E264" s="235"/>
      <c r="F264" s="90"/>
    </row>
    <row r="265" ht="22.5" customHeight="1">
      <c r="A265" s="233"/>
      <c r="B265" s="234"/>
      <c r="C265" s="227"/>
      <c r="D265" s="226"/>
      <c r="E265" s="235"/>
      <c r="F265" s="90"/>
    </row>
    <row r="266" ht="22.5" customHeight="1">
      <c r="A266" s="233"/>
      <c r="B266" s="234"/>
      <c r="C266" s="227"/>
      <c r="D266" s="226"/>
      <c r="E266" s="235"/>
      <c r="F266" s="90"/>
    </row>
    <row r="267" ht="22.5" customHeight="1">
      <c r="A267" s="233"/>
      <c r="B267" s="234"/>
      <c r="C267" s="227"/>
      <c r="D267" s="226"/>
      <c r="E267" s="235"/>
      <c r="F267" s="90"/>
    </row>
    <row r="268" ht="22.5" customHeight="1">
      <c r="A268" s="233"/>
      <c r="B268" s="234"/>
      <c r="C268" s="227"/>
      <c r="D268" s="226"/>
      <c r="E268" s="235"/>
      <c r="F268" s="90"/>
    </row>
    <row r="269" ht="22.5" customHeight="1">
      <c r="A269" s="233"/>
      <c r="B269" s="234"/>
      <c r="C269" s="227"/>
      <c r="D269" s="226"/>
      <c r="E269" s="235"/>
      <c r="F269" s="90"/>
    </row>
    <row r="270" ht="22.5" customHeight="1">
      <c r="A270" s="233"/>
      <c r="B270" s="234"/>
      <c r="C270" s="227"/>
      <c r="D270" s="226"/>
      <c r="E270" s="235"/>
      <c r="F270" s="90"/>
    </row>
    <row r="271" ht="22.5" customHeight="1">
      <c r="A271" s="233"/>
      <c r="B271" s="234"/>
      <c r="C271" s="227"/>
      <c r="D271" s="226"/>
      <c r="E271" s="235"/>
      <c r="F271" s="90"/>
    </row>
    <row r="272" ht="22.5" customHeight="1">
      <c r="A272" s="233"/>
      <c r="B272" s="234"/>
      <c r="C272" s="227"/>
      <c r="D272" s="226"/>
      <c r="E272" s="235"/>
      <c r="F272" s="90"/>
    </row>
    <row r="273" ht="22.5" customHeight="1">
      <c r="A273" s="233"/>
      <c r="B273" s="234"/>
      <c r="C273" s="227"/>
      <c r="D273" s="226"/>
      <c r="E273" s="235"/>
      <c r="F273" s="90"/>
    </row>
    <row r="274" ht="22.5" customHeight="1">
      <c r="A274" s="233"/>
      <c r="B274" s="234"/>
      <c r="C274" s="227"/>
      <c r="D274" s="226"/>
      <c r="E274" s="235"/>
      <c r="F274" s="90"/>
    </row>
    <row r="275" ht="22.5" customHeight="1">
      <c r="A275" s="233"/>
      <c r="B275" s="234"/>
      <c r="C275" s="227"/>
      <c r="D275" s="226"/>
      <c r="E275" s="235"/>
      <c r="F275" s="90"/>
    </row>
    <row r="276" ht="22.5" customHeight="1">
      <c r="A276" s="233"/>
      <c r="B276" s="234"/>
      <c r="C276" s="227"/>
      <c r="D276" s="226"/>
      <c r="E276" s="235"/>
      <c r="F276" s="90"/>
    </row>
    <row r="277" ht="22.5" customHeight="1">
      <c r="A277" s="233"/>
      <c r="B277" s="234"/>
      <c r="C277" s="227"/>
      <c r="D277" s="226"/>
      <c r="E277" s="235"/>
      <c r="F277" s="90"/>
    </row>
    <row r="278" ht="22.5" customHeight="1">
      <c r="A278" s="233"/>
      <c r="B278" s="234"/>
      <c r="C278" s="227"/>
      <c r="D278" s="226"/>
      <c r="E278" s="235"/>
      <c r="F278" s="90"/>
    </row>
    <row r="279" ht="22.5" customHeight="1">
      <c r="A279" s="233"/>
      <c r="B279" s="234"/>
      <c r="C279" s="227"/>
      <c r="D279" s="226"/>
      <c r="E279" s="235"/>
      <c r="F279" s="90"/>
    </row>
    <row r="280" ht="22.5" customHeight="1">
      <c r="A280" s="233"/>
      <c r="B280" s="234"/>
      <c r="C280" s="227"/>
      <c r="D280" s="226"/>
      <c r="E280" s="235"/>
      <c r="F280" s="90"/>
    </row>
    <row r="281" ht="22.5" customHeight="1">
      <c r="A281" s="233"/>
      <c r="B281" s="234"/>
      <c r="C281" s="227"/>
      <c r="D281" s="226"/>
      <c r="E281" s="235"/>
      <c r="F281" s="90"/>
    </row>
    <row r="282" ht="22.5" customHeight="1">
      <c r="A282" s="233"/>
      <c r="B282" s="234"/>
      <c r="C282" s="227"/>
      <c r="D282" s="226"/>
      <c r="E282" s="235"/>
      <c r="F282" s="90"/>
    </row>
    <row r="283" ht="22.5" customHeight="1">
      <c r="A283" s="233"/>
      <c r="B283" s="234"/>
      <c r="C283" s="227"/>
      <c r="D283" s="226"/>
      <c r="E283" s="235"/>
      <c r="F283" s="90"/>
    </row>
    <row r="284" ht="22.5" customHeight="1">
      <c r="A284" s="233"/>
      <c r="B284" s="234"/>
      <c r="C284" s="227"/>
      <c r="D284" s="226"/>
      <c r="E284" s="235"/>
      <c r="F284" s="90"/>
    </row>
    <row r="285" ht="22.5" customHeight="1">
      <c r="A285" s="233"/>
      <c r="B285" s="234"/>
      <c r="C285" s="227"/>
      <c r="D285" s="226"/>
      <c r="E285" s="235"/>
      <c r="F285" s="90"/>
    </row>
    <row r="286" ht="22.5" customHeight="1">
      <c r="A286" s="233"/>
      <c r="B286" s="234"/>
      <c r="C286" s="227"/>
      <c r="D286" s="226"/>
      <c r="E286" s="235"/>
      <c r="F286" s="90"/>
    </row>
    <row r="287" ht="22.5" customHeight="1">
      <c r="A287" s="233"/>
      <c r="B287" s="234"/>
      <c r="C287" s="227"/>
      <c r="D287" s="226"/>
      <c r="E287" s="235"/>
      <c r="F287" s="90"/>
    </row>
    <row r="288" ht="22.5" customHeight="1">
      <c r="A288" s="233"/>
      <c r="B288" s="234"/>
      <c r="C288" s="227"/>
      <c r="D288" s="226"/>
      <c r="E288" s="235"/>
      <c r="F288" s="90"/>
    </row>
    <row r="289" ht="22.5" customHeight="1">
      <c r="A289" s="233"/>
      <c r="B289" s="234"/>
      <c r="C289" s="227"/>
      <c r="D289" s="226"/>
      <c r="E289" s="235"/>
      <c r="F289" s="90"/>
    </row>
    <row r="290" ht="22.5" customHeight="1">
      <c r="A290" s="233"/>
      <c r="B290" s="234"/>
      <c r="C290" s="227"/>
      <c r="D290" s="226"/>
      <c r="E290" s="235"/>
      <c r="F290" s="90"/>
    </row>
    <row r="291" ht="22.5" customHeight="1">
      <c r="A291" s="233"/>
      <c r="B291" s="234"/>
      <c r="C291" s="227"/>
      <c r="D291" s="226"/>
      <c r="E291" s="235"/>
      <c r="F291" s="90"/>
    </row>
    <row r="292" ht="22.5" customHeight="1">
      <c r="A292" s="233"/>
      <c r="B292" s="234"/>
      <c r="C292" s="227"/>
      <c r="D292" s="226"/>
      <c r="E292" s="235"/>
      <c r="F292" s="90"/>
    </row>
    <row r="293" ht="22.5" customHeight="1">
      <c r="A293" s="233"/>
      <c r="B293" s="234"/>
      <c r="C293" s="227"/>
      <c r="D293" s="226"/>
      <c r="E293" s="235"/>
      <c r="F293" s="90"/>
    </row>
    <row r="294" ht="22.5" customHeight="1">
      <c r="A294" s="233"/>
      <c r="B294" s="234"/>
      <c r="C294" s="227"/>
      <c r="D294" s="226"/>
      <c r="E294" s="235"/>
      <c r="F294" s="90"/>
    </row>
    <row r="295" ht="22.5" customHeight="1">
      <c r="A295" s="233"/>
      <c r="B295" s="234"/>
      <c r="C295" s="227"/>
      <c r="D295" s="226"/>
      <c r="E295" s="235"/>
      <c r="F295" s="90"/>
    </row>
    <row r="296" ht="22.5" customHeight="1">
      <c r="A296" s="233"/>
      <c r="B296" s="234"/>
      <c r="C296" s="227"/>
      <c r="D296" s="226"/>
      <c r="E296" s="235"/>
      <c r="F296" s="90"/>
    </row>
    <row r="297" ht="22.5" customHeight="1">
      <c r="A297" s="233"/>
      <c r="B297" s="234"/>
      <c r="C297" s="227"/>
      <c r="D297" s="226"/>
      <c r="E297" s="235"/>
      <c r="F297" s="90"/>
    </row>
    <row r="298" ht="22.5" customHeight="1">
      <c r="A298" s="233"/>
      <c r="B298" s="234"/>
      <c r="C298" s="227"/>
      <c r="D298" s="226"/>
      <c r="E298" s="235"/>
      <c r="F298" s="90"/>
    </row>
    <row r="299" ht="22.5" customHeight="1">
      <c r="A299" s="233"/>
      <c r="B299" s="234"/>
      <c r="C299" s="227"/>
      <c r="D299" s="226"/>
      <c r="E299" s="235"/>
      <c r="F299" s="90"/>
    </row>
    <row r="300" ht="22.5" customHeight="1">
      <c r="A300" s="233"/>
      <c r="B300" s="234"/>
      <c r="C300" s="227"/>
      <c r="D300" s="226"/>
      <c r="E300" s="235"/>
      <c r="F300" s="90"/>
    </row>
    <row r="301" ht="22.5" customHeight="1">
      <c r="A301" s="233"/>
      <c r="B301" s="234"/>
      <c r="C301" s="227"/>
      <c r="D301" s="226"/>
      <c r="E301" s="235"/>
      <c r="F301" s="90"/>
    </row>
    <row r="302" ht="22.5" customHeight="1">
      <c r="A302" s="233"/>
      <c r="B302" s="234"/>
      <c r="C302" s="227"/>
      <c r="D302" s="226"/>
      <c r="E302" s="235"/>
      <c r="F302" s="90"/>
    </row>
    <row r="303" ht="22.5" customHeight="1">
      <c r="A303" s="233"/>
      <c r="B303" s="234"/>
      <c r="C303" s="227"/>
      <c r="D303" s="226"/>
      <c r="E303" s="235"/>
      <c r="F303" s="90"/>
    </row>
    <row r="304" ht="22.5" customHeight="1">
      <c r="A304" s="233"/>
      <c r="B304" s="234"/>
      <c r="C304" s="227"/>
      <c r="D304" s="226"/>
      <c r="E304" s="235"/>
      <c r="F304" s="90"/>
    </row>
    <row r="305" ht="22.5" customHeight="1">
      <c r="A305" s="233"/>
      <c r="B305" s="234"/>
      <c r="C305" s="227"/>
      <c r="D305" s="226"/>
      <c r="E305" s="235"/>
      <c r="F305" s="90"/>
    </row>
    <row r="306" ht="22.5" customHeight="1">
      <c r="A306" s="233"/>
      <c r="B306" s="234"/>
      <c r="C306" s="227"/>
      <c r="D306" s="226"/>
      <c r="E306" s="235"/>
      <c r="F306" s="90"/>
    </row>
    <row r="307" ht="22.5" customHeight="1">
      <c r="A307" s="233"/>
      <c r="B307" s="234"/>
      <c r="C307" s="227"/>
      <c r="D307" s="226"/>
      <c r="E307" s="235"/>
      <c r="F307" s="90"/>
    </row>
    <row r="308" ht="22.5" customHeight="1">
      <c r="A308" s="233"/>
      <c r="B308" s="234"/>
      <c r="C308" s="227"/>
      <c r="D308" s="226"/>
      <c r="E308" s="235"/>
      <c r="F308" s="90"/>
    </row>
    <row r="309" ht="22.5" customHeight="1">
      <c r="A309" s="233"/>
      <c r="B309" s="234"/>
      <c r="C309" s="227"/>
      <c r="D309" s="226"/>
      <c r="E309" s="235"/>
      <c r="F309" s="90"/>
    </row>
    <row r="310" ht="22.5" customHeight="1">
      <c r="A310" s="233"/>
      <c r="B310" s="234"/>
      <c r="C310" s="227"/>
      <c r="D310" s="226"/>
      <c r="E310" s="235"/>
      <c r="F310" s="90"/>
    </row>
    <row r="311" ht="22.5" customHeight="1">
      <c r="A311" s="233"/>
      <c r="B311" s="234"/>
      <c r="C311" s="227"/>
      <c r="D311" s="226"/>
      <c r="E311" s="235"/>
      <c r="F311" s="90"/>
    </row>
    <row r="312" ht="22.5" customHeight="1">
      <c r="A312" s="233"/>
      <c r="B312" s="234"/>
      <c r="C312" s="227"/>
      <c r="D312" s="226"/>
      <c r="E312" s="235"/>
      <c r="F312" s="90"/>
    </row>
    <row r="313" ht="22.5" customHeight="1">
      <c r="A313" s="233"/>
      <c r="B313" s="234"/>
      <c r="C313" s="227"/>
      <c r="D313" s="226"/>
      <c r="E313" s="235"/>
      <c r="F313" s="90"/>
    </row>
    <row r="314" ht="22.5" customHeight="1">
      <c r="A314" s="233"/>
      <c r="B314" s="234"/>
      <c r="C314" s="227"/>
      <c r="D314" s="226"/>
      <c r="E314" s="235"/>
      <c r="F314" s="90"/>
    </row>
    <row r="315" ht="22.5" customHeight="1">
      <c r="A315" s="233"/>
      <c r="B315" s="234"/>
      <c r="C315" s="227"/>
      <c r="D315" s="226"/>
      <c r="E315" s="235"/>
      <c r="F315" s="90"/>
    </row>
    <row r="316" ht="22.5" customHeight="1">
      <c r="A316" s="233"/>
      <c r="B316" s="234"/>
      <c r="C316" s="227"/>
      <c r="D316" s="226"/>
      <c r="E316" s="235"/>
      <c r="F316" s="90"/>
    </row>
    <row r="317" ht="22.5" customHeight="1">
      <c r="A317" s="233"/>
      <c r="B317" s="234"/>
      <c r="C317" s="227"/>
      <c r="D317" s="226"/>
      <c r="E317" s="235"/>
      <c r="F317" s="90"/>
    </row>
    <row r="318" ht="22.5" customHeight="1">
      <c r="A318" s="233"/>
      <c r="B318" s="234"/>
      <c r="C318" s="227"/>
      <c r="D318" s="226"/>
      <c r="E318" s="235"/>
      <c r="F318" s="90"/>
    </row>
    <row r="319" ht="22.5" customHeight="1">
      <c r="A319" s="233"/>
      <c r="B319" s="234"/>
      <c r="C319" s="227"/>
      <c r="D319" s="226"/>
      <c r="E319" s="235"/>
      <c r="F319" s="90"/>
    </row>
    <row r="320" ht="22.5" customHeight="1">
      <c r="A320" s="233"/>
      <c r="B320" s="234"/>
      <c r="C320" s="227"/>
      <c r="D320" s="226"/>
      <c r="E320" s="235"/>
      <c r="F320" s="90"/>
    </row>
    <row r="321" ht="22.5" customHeight="1">
      <c r="A321" s="233"/>
      <c r="B321" s="234"/>
      <c r="C321" s="227"/>
      <c r="D321" s="226"/>
      <c r="E321" s="235"/>
      <c r="F321" s="90"/>
    </row>
    <row r="322" ht="22.5" customHeight="1">
      <c r="A322" s="233"/>
      <c r="B322" s="234"/>
      <c r="C322" s="227"/>
      <c r="D322" s="226"/>
      <c r="E322" s="235"/>
      <c r="F322" s="90"/>
    </row>
    <row r="323" ht="22.5" customHeight="1">
      <c r="A323" s="233"/>
      <c r="B323" s="234"/>
      <c r="C323" s="227"/>
      <c r="D323" s="226"/>
      <c r="E323" s="235"/>
      <c r="F323" s="90"/>
    </row>
    <row r="324" ht="22.5" customHeight="1">
      <c r="A324" s="233"/>
      <c r="B324" s="234"/>
      <c r="C324" s="227"/>
      <c r="D324" s="226"/>
      <c r="E324" s="235"/>
      <c r="F324" s="90"/>
    </row>
    <row r="325" ht="22.5" customHeight="1">
      <c r="A325" s="233"/>
      <c r="B325" s="234"/>
      <c r="C325" s="227"/>
      <c r="D325" s="226"/>
      <c r="E325" s="235"/>
      <c r="F325" s="90"/>
    </row>
    <row r="326" ht="22.5" customHeight="1">
      <c r="A326" s="233"/>
      <c r="B326" s="234"/>
      <c r="C326" s="227"/>
      <c r="D326" s="226"/>
      <c r="E326" s="235"/>
      <c r="F326" s="90"/>
    </row>
    <row r="327" ht="22.5" customHeight="1">
      <c r="A327" s="233"/>
      <c r="B327" s="234"/>
      <c r="C327" s="227"/>
      <c r="D327" s="226"/>
      <c r="E327" s="235"/>
      <c r="F327" s="90"/>
    </row>
    <row r="328" ht="22.5" customHeight="1">
      <c r="A328" s="233"/>
      <c r="B328" s="234"/>
      <c r="C328" s="227"/>
      <c r="D328" s="226"/>
      <c r="E328" s="235"/>
      <c r="F328" s="90"/>
    </row>
    <row r="329" ht="22.5" customHeight="1">
      <c r="A329" s="233"/>
      <c r="B329" s="234"/>
      <c r="C329" s="227"/>
      <c r="D329" s="226"/>
      <c r="E329" s="235"/>
      <c r="F329" s="90"/>
    </row>
    <row r="330" ht="22.5" customHeight="1">
      <c r="A330" s="233"/>
      <c r="B330" s="234"/>
      <c r="C330" s="227"/>
      <c r="D330" s="226"/>
      <c r="E330" s="235"/>
      <c r="F330" s="90"/>
    </row>
    <row r="331" ht="22.5" customHeight="1">
      <c r="A331" s="233"/>
      <c r="B331" s="234"/>
      <c r="C331" s="227"/>
      <c r="D331" s="226"/>
      <c r="E331" s="235"/>
      <c r="F331" s="90"/>
    </row>
    <row r="332" ht="22.5" customHeight="1">
      <c r="A332" s="233"/>
      <c r="B332" s="234"/>
      <c r="C332" s="227"/>
      <c r="D332" s="226"/>
      <c r="E332" s="235"/>
      <c r="F332" s="90"/>
    </row>
    <row r="333" ht="22.5" customHeight="1">
      <c r="A333" s="233"/>
      <c r="B333" s="234"/>
      <c r="C333" s="227"/>
      <c r="D333" s="226"/>
      <c r="E333" s="235"/>
      <c r="F333" s="90"/>
    </row>
    <row r="334" ht="22.5" customHeight="1">
      <c r="A334" s="233"/>
      <c r="B334" s="234"/>
      <c r="C334" s="227"/>
      <c r="D334" s="226"/>
      <c r="E334" s="235"/>
      <c r="F334" s="90"/>
    </row>
    <row r="335" ht="22.5" customHeight="1">
      <c r="A335" s="233"/>
      <c r="B335" s="234"/>
      <c r="C335" s="227"/>
      <c r="D335" s="226"/>
      <c r="E335" s="235"/>
      <c r="F335" s="90"/>
    </row>
    <row r="336" ht="22.5" customHeight="1">
      <c r="A336" s="233"/>
      <c r="B336" s="234"/>
      <c r="C336" s="227"/>
      <c r="D336" s="226"/>
      <c r="E336" s="235"/>
      <c r="F336" s="90"/>
    </row>
    <row r="337" ht="22.5" customHeight="1">
      <c r="A337" s="233"/>
      <c r="B337" s="234"/>
      <c r="C337" s="227"/>
      <c r="D337" s="226"/>
      <c r="E337" s="235"/>
      <c r="F337" s="90"/>
    </row>
    <row r="338" ht="22.5" customHeight="1">
      <c r="A338" s="233"/>
      <c r="B338" s="234"/>
      <c r="C338" s="227"/>
      <c r="D338" s="226"/>
      <c r="E338" s="235"/>
      <c r="F338" s="90"/>
    </row>
    <row r="339" ht="22.5" customHeight="1">
      <c r="A339" s="233"/>
      <c r="B339" s="234"/>
      <c r="C339" s="227"/>
      <c r="D339" s="226"/>
      <c r="E339" s="235"/>
      <c r="F339" s="90"/>
    </row>
    <row r="340" ht="22.5" customHeight="1">
      <c r="A340" s="233"/>
      <c r="B340" s="234"/>
      <c r="C340" s="227"/>
      <c r="D340" s="226"/>
      <c r="E340" s="235"/>
      <c r="F340" s="90"/>
    </row>
    <row r="341" ht="22.5" customHeight="1">
      <c r="A341" s="233"/>
      <c r="B341" s="234"/>
      <c r="C341" s="227"/>
      <c r="D341" s="226"/>
      <c r="E341" s="235"/>
      <c r="F341" s="90"/>
    </row>
    <row r="342" ht="22.5" customHeight="1">
      <c r="A342" s="233"/>
      <c r="B342" s="234"/>
      <c r="C342" s="227"/>
      <c r="D342" s="226"/>
      <c r="E342" s="235"/>
      <c r="F342" s="90"/>
    </row>
    <row r="343" ht="22.5" customHeight="1">
      <c r="A343" s="233"/>
      <c r="B343" s="234"/>
      <c r="C343" s="227"/>
      <c r="D343" s="226"/>
      <c r="E343" s="235"/>
      <c r="F343" s="90"/>
    </row>
    <row r="344" ht="22.5" customHeight="1">
      <c r="A344" s="233"/>
      <c r="B344" s="234"/>
      <c r="C344" s="227"/>
      <c r="D344" s="226"/>
      <c r="E344" s="235"/>
      <c r="F344" s="90"/>
    </row>
    <row r="345" ht="22.5" customHeight="1">
      <c r="A345" s="233"/>
      <c r="B345" s="234"/>
      <c r="C345" s="227"/>
      <c r="D345" s="226"/>
      <c r="E345" s="235"/>
      <c r="F345" s="90"/>
    </row>
    <row r="346" ht="22.5" customHeight="1">
      <c r="A346" s="233"/>
      <c r="B346" s="234"/>
      <c r="C346" s="227"/>
      <c r="D346" s="226"/>
      <c r="E346" s="235"/>
      <c r="F346" s="90"/>
    </row>
    <row r="347" ht="22.5" customHeight="1">
      <c r="A347" s="233"/>
      <c r="B347" s="234"/>
      <c r="C347" s="227"/>
      <c r="D347" s="226"/>
      <c r="E347" s="235"/>
      <c r="F347" s="90"/>
    </row>
    <row r="348" ht="22.5" customHeight="1">
      <c r="A348" s="233"/>
      <c r="B348" s="234"/>
      <c r="C348" s="227"/>
      <c r="D348" s="226"/>
      <c r="E348" s="235"/>
      <c r="F348" s="90"/>
    </row>
    <row r="349" ht="22.5" customHeight="1">
      <c r="A349" s="233"/>
      <c r="B349" s="234"/>
      <c r="C349" s="227"/>
      <c r="D349" s="226"/>
      <c r="E349" s="235"/>
      <c r="F349" s="90"/>
    </row>
    <row r="350" ht="22.5" customHeight="1">
      <c r="A350" s="233"/>
      <c r="B350" s="234"/>
      <c r="C350" s="227"/>
      <c r="D350" s="226"/>
      <c r="E350" s="235"/>
      <c r="F350" s="90"/>
    </row>
    <row r="351" ht="22.5" customHeight="1">
      <c r="A351" s="233"/>
      <c r="B351" s="234"/>
      <c r="C351" s="227"/>
      <c r="D351" s="226"/>
      <c r="E351" s="235"/>
      <c r="F351" s="90"/>
    </row>
    <row r="352" ht="22.5" customHeight="1">
      <c r="A352" s="233"/>
      <c r="B352" s="234"/>
      <c r="C352" s="227"/>
      <c r="D352" s="226"/>
      <c r="E352" s="235"/>
      <c r="F352" s="90"/>
    </row>
    <row r="353" ht="22.5" customHeight="1">
      <c r="A353" s="233"/>
      <c r="B353" s="234"/>
      <c r="C353" s="227"/>
      <c r="D353" s="226"/>
      <c r="E353" s="235"/>
      <c r="F353" s="90"/>
    </row>
    <row r="354" ht="22.5" customHeight="1">
      <c r="A354" s="233"/>
      <c r="B354" s="234"/>
      <c r="C354" s="227"/>
      <c r="D354" s="226"/>
      <c r="E354" s="235"/>
      <c r="F354" s="90"/>
    </row>
    <row r="355" ht="22.5" customHeight="1">
      <c r="A355" s="233"/>
      <c r="B355" s="234"/>
      <c r="C355" s="227"/>
      <c r="D355" s="226"/>
      <c r="E355" s="235"/>
      <c r="F355" s="90"/>
    </row>
    <row r="356" ht="22.5" customHeight="1">
      <c r="A356" s="233"/>
      <c r="B356" s="234"/>
      <c r="C356" s="227"/>
      <c r="D356" s="226"/>
      <c r="E356" s="235"/>
      <c r="F356" s="90"/>
    </row>
    <row r="357" ht="22.5" customHeight="1">
      <c r="A357" s="233"/>
      <c r="B357" s="234"/>
      <c r="C357" s="227"/>
      <c r="D357" s="226"/>
      <c r="E357" s="235"/>
      <c r="F357" s="90"/>
    </row>
    <row r="358" ht="22.5" customHeight="1">
      <c r="A358" s="233"/>
      <c r="B358" s="234"/>
      <c r="C358" s="227"/>
      <c r="D358" s="226"/>
      <c r="E358" s="235"/>
      <c r="F358" s="90"/>
    </row>
    <row r="359" ht="22.5" customHeight="1">
      <c r="A359" s="233"/>
      <c r="B359" s="234"/>
      <c r="C359" s="227"/>
      <c r="D359" s="226"/>
      <c r="E359" s="235"/>
      <c r="F359" s="90"/>
    </row>
    <row r="360" ht="22.5" customHeight="1">
      <c r="A360" s="233"/>
      <c r="B360" s="234"/>
      <c r="C360" s="227"/>
      <c r="D360" s="226"/>
      <c r="E360" s="235"/>
      <c r="F360" s="90"/>
    </row>
    <row r="361" ht="22.5" customHeight="1">
      <c r="A361" s="233"/>
      <c r="B361" s="234"/>
      <c r="C361" s="227"/>
      <c r="D361" s="226"/>
      <c r="E361" s="235"/>
      <c r="F361" s="90"/>
    </row>
    <row r="362" ht="22.5" customHeight="1">
      <c r="A362" s="233"/>
      <c r="B362" s="234"/>
      <c r="C362" s="227"/>
      <c r="D362" s="226"/>
      <c r="E362" s="235"/>
      <c r="F362" s="90"/>
    </row>
    <row r="363" ht="22.5" customHeight="1">
      <c r="A363" s="233"/>
      <c r="B363" s="234"/>
      <c r="C363" s="227"/>
      <c r="D363" s="226"/>
      <c r="E363" s="235"/>
      <c r="F363" s="90"/>
    </row>
    <row r="364" ht="22.5" customHeight="1">
      <c r="A364" s="233"/>
      <c r="B364" s="234"/>
      <c r="C364" s="227"/>
      <c r="D364" s="226"/>
      <c r="E364" s="235"/>
      <c r="F364" s="90"/>
    </row>
    <row r="365" ht="22.5" customHeight="1">
      <c r="A365" s="233"/>
      <c r="B365" s="234"/>
      <c r="C365" s="227"/>
      <c r="D365" s="226"/>
      <c r="E365" s="235"/>
      <c r="F365" s="90"/>
    </row>
    <row r="366" ht="22.5" customHeight="1">
      <c r="A366" s="233"/>
      <c r="B366" s="234"/>
      <c r="C366" s="227"/>
      <c r="D366" s="226"/>
      <c r="E366" s="235"/>
      <c r="F366" s="90"/>
    </row>
    <row r="367" ht="22.5" customHeight="1">
      <c r="A367" s="233"/>
      <c r="B367" s="234"/>
      <c r="C367" s="227"/>
      <c r="D367" s="226"/>
      <c r="E367" s="235"/>
      <c r="F367" s="90"/>
    </row>
    <row r="368" ht="22.5" customHeight="1">
      <c r="A368" s="233"/>
      <c r="B368" s="234"/>
      <c r="C368" s="227"/>
      <c r="D368" s="226"/>
      <c r="E368" s="235"/>
      <c r="F368" s="90"/>
    </row>
    <row r="369" ht="22.5" customHeight="1">
      <c r="A369" s="233"/>
      <c r="B369" s="234"/>
      <c r="C369" s="227"/>
      <c r="D369" s="226"/>
      <c r="E369" s="235"/>
      <c r="F369" s="90"/>
    </row>
    <row r="370" ht="22.5" customHeight="1">
      <c r="A370" s="233"/>
      <c r="B370" s="234"/>
      <c r="C370" s="227"/>
      <c r="D370" s="226"/>
      <c r="E370" s="235"/>
      <c r="F370" s="90"/>
    </row>
    <row r="371" ht="22.5" customHeight="1">
      <c r="A371" s="233"/>
      <c r="B371" s="234"/>
      <c r="C371" s="227"/>
      <c r="D371" s="226"/>
      <c r="E371" s="235"/>
      <c r="F371" s="90"/>
    </row>
    <row r="372" ht="22.5" customHeight="1">
      <c r="A372" s="233"/>
      <c r="B372" s="234"/>
      <c r="C372" s="227"/>
      <c r="D372" s="226"/>
      <c r="E372" s="235"/>
      <c r="F372" s="90"/>
    </row>
    <row r="373" ht="22.5" customHeight="1">
      <c r="A373" s="233"/>
      <c r="B373" s="234"/>
      <c r="C373" s="227"/>
      <c r="D373" s="226"/>
      <c r="E373" s="235"/>
      <c r="F373" s="90"/>
    </row>
    <row r="374" ht="22.5" customHeight="1">
      <c r="A374" s="233"/>
      <c r="B374" s="234"/>
      <c r="C374" s="227"/>
      <c r="D374" s="226"/>
      <c r="E374" s="235"/>
      <c r="F374" s="90"/>
    </row>
    <row r="375" ht="22.5" customHeight="1">
      <c r="A375" s="233"/>
      <c r="B375" s="234"/>
      <c r="C375" s="227"/>
      <c r="D375" s="226"/>
      <c r="E375" s="235"/>
      <c r="F375" s="90"/>
    </row>
    <row r="376" ht="22.5" customHeight="1">
      <c r="A376" s="233"/>
      <c r="B376" s="234"/>
      <c r="C376" s="227"/>
      <c r="D376" s="226"/>
      <c r="E376" s="235"/>
      <c r="F376" s="90"/>
    </row>
    <row r="377" ht="22.5" customHeight="1">
      <c r="A377" s="233"/>
      <c r="B377" s="234"/>
      <c r="C377" s="227"/>
      <c r="D377" s="226"/>
      <c r="E377" s="235"/>
      <c r="F377" s="90"/>
    </row>
    <row r="378" ht="22.5" customHeight="1">
      <c r="A378" s="233"/>
      <c r="B378" s="234"/>
      <c r="C378" s="227"/>
      <c r="D378" s="226"/>
      <c r="E378" s="235"/>
      <c r="F378" s="90"/>
    </row>
    <row r="379" ht="22.5" customHeight="1">
      <c r="A379" s="233"/>
      <c r="B379" s="234"/>
      <c r="C379" s="227"/>
      <c r="D379" s="226"/>
      <c r="E379" s="235"/>
      <c r="F379" s="90"/>
    </row>
    <row r="380" ht="22.5" customHeight="1">
      <c r="A380" s="233"/>
      <c r="B380" s="234"/>
      <c r="C380" s="227"/>
      <c r="D380" s="226"/>
      <c r="E380" s="235"/>
      <c r="F380" s="90"/>
    </row>
    <row r="381" ht="22.5" customHeight="1">
      <c r="A381" s="233"/>
      <c r="B381" s="234"/>
      <c r="C381" s="227"/>
      <c r="D381" s="226"/>
      <c r="E381" s="235"/>
      <c r="F381" s="90"/>
    </row>
    <row r="382" ht="22.5" customHeight="1">
      <c r="A382" s="233"/>
      <c r="B382" s="234"/>
      <c r="C382" s="227"/>
      <c r="D382" s="226"/>
      <c r="E382" s="235"/>
      <c r="F382" s="90"/>
    </row>
    <row r="383" ht="22.5" customHeight="1">
      <c r="A383" s="233"/>
      <c r="B383" s="234"/>
      <c r="C383" s="227"/>
      <c r="D383" s="226"/>
      <c r="E383" s="235"/>
      <c r="F383" s="90"/>
    </row>
    <row r="384" ht="22.5" customHeight="1">
      <c r="A384" s="233"/>
      <c r="B384" s="234"/>
      <c r="C384" s="227"/>
      <c r="D384" s="226"/>
      <c r="E384" s="235"/>
      <c r="F384" s="90"/>
    </row>
    <row r="385" ht="22.5" customHeight="1">
      <c r="A385" s="233"/>
      <c r="B385" s="234"/>
      <c r="C385" s="227"/>
      <c r="D385" s="226"/>
      <c r="E385" s="235"/>
      <c r="F385" s="90"/>
    </row>
    <row r="386" ht="22.5" customHeight="1">
      <c r="A386" s="233"/>
      <c r="B386" s="234"/>
      <c r="C386" s="227"/>
      <c r="D386" s="226"/>
      <c r="E386" s="235"/>
      <c r="F386" s="90"/>
    </row>
    <row r="387" ht="22.5" customHeight="1">
      <c r="A387" s="233"/>
      <c r="B387" s="234"/>
      <c r="C387" s="227"/>
      <c r="D387" s="226"/>
      <c r="E387" s="235"/>
      <c r="F387" s="90"/>
    </row>
    <row r="388" ht="22.5" customHeight="1">
      <c r="A388" s="233"/>
      <c r="B388" s="234"/>
      <c r="C388" s="227"/>
      <c r="D388" s="226"/>
      <c r="E388" s="235"/>
      <c r="F388" s="90"/>
    </row>
    <row r="389" ht="22.5" customHeight="1">
      <c r="A389" s="233"/>
      <c r="B389" s="234"/>
      <c r="C389" s="227"/>
      <c r="D389" s="226"/>
      <c r="E389" s="235"/>
      <c r="F389" s="90"/>
    </row>
    <row r="390" ht="22.5" customHeight="1">
      <c r="A390" s="233"/>
      <c r="B390" s="234"/>
      <c r="C390" s="227"/>
      <c r="D390" s="226"/>
      <c r="E390" s="235"/>
      <c r="F390" s="90"/>
    </row>
    <row r="391" ht="22.5" customHeight="1">
      <c r="A391" s="233"/>
      <c r="B391" s="234"/>
      <c r="C391" s="227"/>
      <c r="D391" s="226"/>
      <c r="E391" s="235"/>
      <c r="F391" s="90"/>
    </row>
    <row r="392" ht="22.5" customHeight="1">
      <c r="A392" s="233"/>
      <c r="B392" s="234"/>
      <c r="C392" s="227"/>
      <c r="D392" s="226"/>
      <c r="E392" s="235"/>
      <c r="F392" s="90"/>
    </row>
    <row r="393" ht="22.5" customHeight="1">
      <c r="A393" s="233"/>
      <c r="B393" s="234"/>
      <c r="C393" s="227"/>
      <c r="D393" s="226"/>
      <c r="E393" s="235"/>
      <c r="F393" s="90"/>
    </row>
    <row r="394" ht="22.5" customHeight="1">
      <c r="A394" s="233"/>
      <c r="B394" s="234"/>
      <c r="C394" s="227"/>
      <c r="D394" s="226"/>
      <c r="E394" s="235"/>
      <c r="F394" s="90"/>
    </row>
    <row r="395" ht="22.5" customHeight="1">
      <c r="A395" s="233"/>
      <c r="B395" s="234"/>
      <c r="C395" s="227"/>
      <c r="D395" s="226"/>
      <c r="E395" s="235"/>
      <c r="F395" s="90"/>
    </row>
    <row r="396" ht="22.5" customHeight="1">
      <c r="A396" s="233"/>
      <c r="B396" s="234"/>
      <c r="C396" s="227"/>
      <c r="D396" s="226"/>
      <c r="E396" s="235"/>
      <c r="F396" s="90"/>
    </row>
    <row r="397" ht="22.5" customHeight="1">
      <c r="A397" s="233"/>
      <c r="B397" s="234"/>
      <c r="C397" s="227"/>
      <c r="D397" s="226"/>
      <c r="E397" s="235"/>
      <c r="F397" s="90"/>
    </row>
    <row r="398" ht="22.5" customHeight="1">
      <c r="A398" s="233"/>
      <c r="B398" s="234"/>
      <c r="C398" s="227"/>
      <c r="D398" s="226"/>
      <c r="E398" s="235"/>
      <c r="F398" s="90"/>
    </row>
    <row r="399" ht="22.5" customHeight="1">
      <c r="A399" s="233"/>
      <c r="B399" s="234"/>
      <c r="C399" s="227"/>
      <c r="D399" s="226"/>
      <c r="E399" s="235"/>
      <c r="F399" s="90"/>
    </row>
    <row r="400" ht="22.5" customHeight="1">
      <c r="A400" s="233"/>
      <c r="B400" s="234"/>
      <c r="C400" s="227"/>
      <c r="D400" s="226"/>
      <c r="E400" s="235"/>
      <c r="F400" s="90"/>
    </row>
    <row r="401" ht="22.5" customHeight="1">
      <c r="A401" s="233"/>
      <c r="B401" s="234"/>
      <c r="C401" s="227"/>
      <c r="D401" s="226"/>
      <c r="E401" s="235"/>
      <c r="F401" s="90"/>
    </row>
    <row r="402" ht="22.5" customHeight="1">
      <c r="A402" s="233"/>
      <c r="B402" s="234"/>
      <c r="C402" s="227"/>
      <c r="D402" s="226"/>
      <c r="E402" s="235"/>
      <c r="F402" s="90"/>
    </row>
    <row r="403" ht="22.5" customHeight="1">
      <c r="A403" s="233"/>
      <c r="B403" s="234"/>
      <c r="C403" s="227"/>
      <c r="D403" s="226"/>
      <c r="E403" s="235"/>
      <c r="F403" s="90"/>
    </row>
    <row r="404" ht="22.5" customHeight="1">
      <c r="A404" s="233"/>
      <c r="B404" s="234"/>
      <c r="C404" s="227"/>
      <c r="D404" s="226"/>
      <c r="E404" s="235"/>
      <c r="F404" s="90"/>
    </row>
    <row r="405" ht="22.5" customHeight="1">
      <c r="A405" s="233"/>
      <c r="B405" s="234"/>
      <c r="C405" s="227"/>
      <c r="D405" s="226"/>
      <c r="E405" s="235"/>
      <c r="F405" s="90"/>
    </row>
    <row r="406" ht="22.5" customHeight="1">
      <c r="A406" s="233"/>
      <c r="B406" s="234"/>
      <c r="C406" s="227"/>
      <c r="D406" s="226"/>
      <c r="E406" s="235"/>
      <c r="F406" s="90"/>
    </row>
    <row r="407" ht="22.5" customHeight="1">
      <c r="A407" s="233"/>
      <c r="B407" s="234"/>
      <c r="C407" s="227"/>
      <c r="D407" s="226"/>
      <c r="E407" s="235"/>
      <c r="F407" s="90"/>
    </row>
    <row r="408" ht="22.5" customHeight="1">
      <c r="A408" s="233"/>
      <c r="B408" s="234"/>
      <c r="C408" s="227"/>
      <c r="D408" s="226"/>
      <c r="E408" s="235"/>
      <c r="F408" s="90"/>
    </row>
    <row r="409" ht="22.5" customHeight="1">
      <c r="A409" s="233"/>
      <c r="B409" s="234"/>
      <c r="C409" s="227"/>
      <c r="D409" s="226"/>
      <c r="E409" s="235"/>
      <c r="F409" s="90"/>
    </row>
    <row r="410" ht="22.5" customHeight="1">
      <c r="A410" s="233"/>
      <c r="B410" s="234"/>
      <c r="C410" s="227"/>
      <c r="D410" s="226"/>
      <c r="E410" s="235"/>
      <c r="F410" s="90"/>
    </row>
    <row r="411" ht="22.5" customHeight="1">
      <c r="A411" s="233"/>
      <c r="B411" s="234"/>
      <c r="C411" s="227"/>
      <c r="D411" s="226"/>
      <c r="E411" s="235"/>
      <c r="F411" s="90"/>
    </row>
    <row r="412" ht="22.5" customHeight="1">
      <c r="A412" s="233"/>
      <c r="B412" s="234"/>
      <c r="C412" s="227"/>
      <c r="D412" s="226"/>
      <c r="E412" s="235"/>
      <c r="F412" s="90"/>
    </row>
    <row r="413" ht="22.5" customHeight="1">
      <c r="A413" s="233"/>
      <c r="B413" s="234"/>
      <c r="C413" s="227"/>
      <c r="D413" s="226"/>
      <c r="E413" s="235"/>
      <c r="F413" s="90"/>
    </row>
    <row r="414" ht="22.5" customHeight="1">
      <c r="A414" s="233"/>
      <c r="B414" s="234"/>
      <c r="C414" s="227"/>
      <c r="D414" s="226"/>
      <c r="E414" s="235"/>
      <c r="F414" s="90"/>
    </row>
    <row r="415" ht="22.5" customHeight="1">
      <c r="A415" s="233"/>
      <c r="B415" s="234"/>
      <c r="C415" s="227"/>
      <c r="D415" s="226"/>
      <c r="E415" s="235"/>
      <c r="F415" s="90"/>
    </row>
    <row r="416" ht="22.5" customHeight="1">
      <c r="A416" s="233"/>
      <c r="B416" s="234"/>
      <c r="C416" s="227"/>
      <c r="D416" s="226"/>
      <c r="E416" s="235"/>
      <c r="F416" s="90"/>
    </row>
    <row r="417" ht="22.5" customHeight="1">
      <c r="A417" s="233"/>
      <c r="B417" s="234"/>
      <c r="C417" s="227"/>
      <c r="D417" s="226"/>
      <c r="E417" s="235"/>
      <c r="F417" s="90"/>
    </row>
    <row r="418" ht="22.5" customHeight="1">
      <c r="A418" s="233"/>
      <c r="B418" s="234"/>
      <c r="C418" s="227"/>
      <c r="D418" s="226"/>
      <c r="E418" s="235"/>
      <c r="F418" s="90"/>
    </row>
    <row r="419" ht="22.5" customHeight="1">
      <c r="A419" s="233"/>
      <c r="B419" s="234"/>
      <c r="C419" s="227"/>
      <c r="D419" s="226"/>
      <c r="E419" s="235"/>
      <c r="F419" s="90"/>
    </row>
    <row r="420" ht="22.5" customHeight="1">
      <c r="A420" s="233"/>
      <c r="B420" s="234"/>
      <c r="C420" s="227"/>
      <c r="D420" s="226"/>
      <c r="E420" s="235"/>
      <c r="F420" s="90"/>
    </row>
    <row r="421" ht="22.5" customHeight="1">
      <c r="A421" s="233"/>
      <c r="B421" s="234"/>
      <c r="C421" s="227"/>
      <c r="D421" s="226"/>
      <c r="E421" s="235"/>
      <c r="F421" s="90"/>
    </row>
    <row r="422" ht="22.5" customHeight="1">
      <c r="A422" s="233"/>
      <c r="B422" s="234"/>
      <c r="C422" s="227"/>
      <c r="D422" s="226"/>
      <c r="E422" s="235"/>
      <c r="F422" s="90"/>
    </row>
    <row r="423" ht="22.5" customHeight="1">
      <c r="A423" s="233"/>
      <c r="B423" s="234"/>
      <c r="C423" s="227"/>
      <c r="D423" s="226"/>
      <c r="E423" s="235"/>
      <c r="F423" s="90"/>
    </row>
    <row r="424" ht="22.5" customHeight="1">
      <c r="A424" s="233"/>
      <c r="B424" s="234"/>
      <c r="C424" s="227"/>
      <c r="D424" s="226"/>
      <c r="E424" s="235"/>
      <c r="F424" s="90"/>
    </row>
    <row r="425" ht="22.5" customHeight="1">
      <c r="A425" s="233"/>
      <c r="B425" s="234"/>
      <c r="C425" s="227"/>
      <c r="D425" s="226"/>
      <c r="E425" s="235"/>
      <c r="F425" s="90"/>
    </row>
    <row r="426" ht="22.5" customHeight="1">
      <c r="A426" s="233"/>
      <c r="B426" s="234"/>
      <c r="C426" s="227"/>
      <c r="D426" s="226"/>
      <c r="E426" s="235"/>
      <c r="F426" s="90"/>
    </row>
    <row r="427" ht="22.5" customHeight="1">
      <c r="A427" s="233"/>
      <c r="B427" s="234"/>
      <c r="C427" s="227"/>
      <c r="D427" s="226"/>
      <c r="E427" s="235"/>
      <c r="F427" s="90"/>
    </row>
    <row r="428" ht="22.5" customHeight="1">
      <c r="A428" s="233"/>
      <c r="B428" s="234"/>
      <c r="C428" s="227"/>
      <c r="D428" s="226"/>
      <c r="E428" s="235"/>
      <c r="F428" s="90"/>
    </row>
    <row r="429" ht="22.5" customHeight="1">
      <c r="A429" s="233"/>
      <c r="B429" s="234"/>
      <c r="C429" s="227"/>
      <c r="D429" s="226"/>
      <c r="E429" s="235"/>
      <c r="F429" s="90"/>
    </row>
    <row r="430" ht="22.5" customHeight="1">
      <c r="A430" s="233"/>
      <c r="B430" s="234"/>
      <c r="C430" s="227"/>
      <c r="D430" s="226"/>
      <c r="E430" s="235"/>
      <c r="F430" s="90"/>
    </row>
    <row r="431" ht="22.5" customHeight="1">
      <c r="A431" s="233"/>
      <c r="B431" s="234"/>
      <c r="C431" s="227"/>
      <c r="D431" s="226"/>
      <c r="E431" s="235"/>
      <c r="F431" s="90"/>
    </row>
    <row r="432" ht="22.5" customHeight="1">
      <c r="A432" s="233"/>
      <c r="B432" s="234"/>
      <c r="C432" s="227"/>
      <c r="D432" s="226"/>
      <c r="E432" s="235"/>
      <c r="F432" s="90"/>
    </row>
    <row r="433" ht="22.5" customHeight="1">
      <c r="A433" s="233"/>
      <c r="B433" s="234"/>
      <c r="C433" s="227"/>
      <c r="D433" s="226"/>
      <c r="E433" s="235"/>
      <c r="F433" s="90"/>
    </row>
    <row r="434" ht="22.5" customHeight="1">
      <c r="A434" s="233"/>
      <c r="B434" s="234"/>
      <c r="C434" s="227"/>
      <c r="D434" s="226"/>
      <c r="E434" s="235"/>
      <c r="F434" s="90"/>
    </row>
    <row r="435" ht="22.5" customHeight="1">
      <c r="A435" s="233"/>
      <c r="B435" s="234"/>
      <c r="C435" s="227"/>
      <c r="D435" s="226"/>
      <c r="E435" s="235"/>
      <c r="F435" s="90"/>
    </row>
    <row r="436" ht="22.5" customHeight="1">
      <c r="A436" s="233"/>
      <c r="B436" s="234"/>
      <c r="C436" s="227"/>
      <c r="D436" s="226"/>
      <c r="E436" s="235"/>
      <c r="F436" s="90"/>
    </row>
    <row r="437" ht="22.5" customHeight="1">
      <c r="A437" s="233"/>
      <c r="B437" s="234"/>
      <c r="C437" s="227"/>
      <c r="D437" s="226"/>
      <c r="E437" s="235"/>
      <c r="F437" s="90"/>
    </row>
    <row r="438" ht="22.5" customHeight="1">
      <c r="A438" s="233"/>
      <c r="B438" s="234"/>
      <c r="C438" s="227"/>
      <c r="D438" s="226"/>
      <c r="E438" s="235"/>
      <c r="F438" s="90"/>
    </row>
    <row r="439" ht="22.5" customHeight="1">
      <c r="A439" s="233"/>
      <c r="B439" s="234"/>
      <c r="C439" s="227"/>
      <c r="D439" s="226"/>
      <c r="E439" s="235"/>
      <c r="F439" s="90"/>
    </row>
    <row r="440" ht="22.5" customHeight="1">
      <c r="A440" s="233"/>
      <c r="B440" s="234"/>
      <c r="C440" s="227"/>
      <c r="D440" s="226"/>
      <c r="E440" s="235"/>
      <c r="F440" s="90"/>
    </row>
    <row r="441" ht="22.5" customHeight="1">
      <c r="A441" s="233"/>
      <c r="B441" s="234"/>
      <c r="C441" s="227"/>
      <c r="D441" s="226"/>
      <c r="E441" s="235"/>
      <c r="F441" s="90"/>
    </row>
    <row r="442" ht="22.5" customHeight="1">
      <c r="A442" s="233"/>
      <c r="B442" s="234"/>
      <c r="C442" s="227"/>
      <c r="D442" s="226"/>
      <c r="E442" s="235"/>
      <c r="F442" s="90"/>
    </row>
    <row r="443" ht="22.5" customHeight="1">
      <c r="A443" s="233"/>
      <c r="B443" s="234"/>
      <c r="C443" s="227"/>
      <c r="D443" s="226"/>
      <c r="E443" s="235"/>
      <c r="F443" s="90"/>
    </row>
    <row r="444" ht="22.5" customHeight="1">
      <c r="A444" s="233"/>
      <c r="B444" s="234"/>
      <c r="C444" s="227"/>
      <c r="D444" s="226"/>
      <c r="E444" s="235"/>
      <c r="F444" s="90"/>
    </row>
    <row r="445" ht="22.5" customHeight="1">
      <c r="A445" s="233"/>
      <c r="B445" s="234"/>
      <c r="C445" s="227"/>
      <c r="D445" s="226"/>
      <c r="E445" s="235"/>
      <c r="F445" s="90"/>
    </row>
    <row r="446" ht="22.5" customHeight="1">
      <c r="A446" s="233"/>
      <c r="B446" s="234"/>
      <c r="C446" s="227"/>
      <c r="D446" s="226"/>
      <c r="E446" s="235"/>
      <c r="F446" s="90"/>
    </row>
    <row r="447" ht="22.5" customHeight="1">
      <c r="A447" s="233"/>
      <c r="B447" s="234"/>
      <c r="C447" s="227"/>
      <c r="D447" s="226"/>
      <c r="E447" s="235"/>
      <c r="F447" s="90"/>
    </row>
    <row r="448" ht="22.5" customHeight="1">
      <c r="A448" s="233"/>
      <c r="B448" s="234"/>
      <c r="C448" s="227"/>
      <c r="D448" s="226"/>
      <c r="E448" s="235"/>
      <c r="F448" s="90"/>
    </row>
    <row r="449" ht="22.5" customHeight="1">
      <c r="A449" s="233"/>
      <c r="B449" s="234"/>
      <c r="C449" s="227"/>
      <c r="D449" s="226"/>
      <c r="E449" s="235"/>
      <c r="F449" s="90"/>
    </row>
    <row r="450" ht="22.5" customHeight="1">
      <c r="A450" s="233"/>
      <c r="B450" s="234"/>
      <c r="C450" s="227"/>
      <c r="D450" s="226"/>
      <c r="E450" s="235"/>
      <c r="F450" s="90"/>
    </row>
    <row r="451" ht="22.5" customHeight="1">
      <c r="A451" s="233"/>
      <c r="B451" s="234"/>
      <c r="C451" s="227"/>
      <c r="D451" s="226"/>
      <c r="E451" s="235"/>
      <c r="F451" s="90"/>
    </row>
    <row r="452" ht="22.5" customHeight="1">
      <c r="A452" s="233"/>
      <c r="B452" s="234"/>
      <c r="C452" s="227"/>
      <c r="D452" s="226"/>
      <c r="E452" s="235"/>
      <c r="F452" s="90"/>
    </row>
    <row r="453" ht="22.5" customHeight="1">
      <c r="A453" s="233"/>
      <c r="B453" s="234"/>
      <c r="C453" s="227"/>
      <c r="D453" s="226"/>
      <c r="E453" s="235"/>
      <c r="F453" s="90"/>
    </row>
    <row r="454" ht="22.5" customHeight="1">
      <c r="A454" s="233"/>
      <c r="B454" s="234"/>
      <c r="C454" s="227"/>
      <c r="D454" s="226"/>
      <c r="E454" s="235"/>
      <c r="F454" s="90"/>
    </row>
    <row r="455" ht="22.5" customHeight="1">
      <c r="A455" s="233"/>
      <c r="B455" s="234"/>
      <c r="C455" s="227"/>
      <c r="D455" s="226"/>
      <c r="E455" s="235"/>
      <c r="F455" s="90"/>
    </row>
    <row r="456" ht="22.5" customHeight="1">
      <c r="A456" s="233"/>
      <c r="B456" s="234"/>
      <c r="C456" s="227"/>
      <c r="D456" s="226"/>
      <c r="E456" s="235"/>
      <c r="F456" s="90"/>
    </row>
    <row r="457" ht="22.5" customHeight="1">
      <c r="A457" s="233"/>
      <c r="B457" s="234"/>
      <c r="C457" s="227"/>
      <c r="D457" s="226"/>
      <c r="E457" s="235"/>
      <c r="F457" s="90"/>
    </row>
    <row r="458" ht="22.5" customHeight="1">
      <c r="A458" s="233"/>
      <c r="B458" s="234"/>
      <c r="C458" s="227"/>
      <c r="D458" s="226"/>
      <c r="E458" s="235"/>
      <c r="F458" s="90"/>
    </row>
    <row r="459" ht="22.5" customHeight="1">
      <c r="A459" s="233"/>
      <c r="B459" s="234"/>
      <c r="C459" s="227"/>
      <c r="D459" s="226"/>
      <c r="E459" s="235"/>
      <c r="F459" s="90"/>
    </row>
    <row r="460" ht="22.5" customHeight="1">
      <c r="A460" s="233"/>
      <c r="B460" s="234"/>
      <c r="C460" s="227"/>
      <c r="D460" s="226"/>
      <c r="E460" s="235"/>
      <c r="F460" s="90"/>
    </row>
    <row r="461" ht="22.5" customHeight="1">
      <c r="A461" s="233"/>
      <c r="B461" s="234"/>
      <c r="C461" s="227"/>
      <c r="D461" s="226"/>
      <c r="E461" s="235"/>
      <c r="F461" s="90"/>
    </row>
    <row r="462" ht="22.5" customHeight="1">
      <c r="A462" s="233"/>
      <c r="B462" s="234"/>
      <c r="C462" s="227"/>
      <c r="D462" s="226"/>
      <c r="E462" s="235"/>
      <c r="F462" s="90"/>
    </row>
    <row r="463" ht="22.5" customHeight="1">
      <c r="A463" s="233"/>
      <c r="B463" s="234"/>
      <c r="C463" s="227"/>
      <c r="D463" s="226"/>
      <c r="E463" s="235"/>
      <c r="F463" s="90"/>
    </row>
    <row r="464" ht="22.5" customHeight="1">
      <c r="A464" s="233"/>
      <c r="B464" s="234"/>
      <c r="C464" s="227"/>
      <c r="D464" s="226"/>
      <c r="E464" s="235"/>
      <c r="F464" s="90"/>
    </row>
    <row r="465" ht="22.5" customHeight="1">
      <c r="A465" s="233"/>
      <c r="B465" s="234"/>
      <c r="C465" s="227"/>
      <c r="D465" s="226"/>
      <c r="E465" s="235"/>
      <c r="F465" s="90"/>
    </row>
    <row r="466" ht="22.5" customHeight="1">
      <c r="A466" s="233"/>
      <c r="B466" s="234"/>
      <c r="C466" s="227"/>
      <c r="D466" s="226"/>
      <c r="E466" s="235"/>
      <c r="F466" s="90"/>
    </row>
    <row r="467" ht="22.5" customHeight="1">
      <c r="A467" s="233"/>
      <c r="B467" s="234"/>
      <c r="C467" s="227"/>
      <c r="D467" s="226"/>
      <c r="E467" s="235"/>
      <c r="F467" s="90"/>
    </row>
    <row r="468" ht="22.5" customHeight="1">
      <c r="A468" s="233"/>
      <c r="B468" s="234"/>
      <c r="C468" s="227"/>
      <c r="D468" s="226"/>
      <c r="E468" s="235"/>
      <c r="F468" s="90"/>
    </row>
    <row r="469" ht="22.5" customHeight="1">
      <c r="A469" s="233"/>
      <c r="B469" s="234"/>
      <c r="C469" s="227"/>
      <c r="D469" s="226"/>
      <c r="E469" s="235"/>
      <c r="F469" s="90"/>
    </row>
    <row r="470" ht="22.5" customHeight="1">
      <c r="A470" s="233"/>
      <c r="B470" s="234"/>
      <c r="C470" s="227"/>
      <c r="D470" s="226"/>
      <c r="E470" s="235"/>
      <c r="F470" s="90"/>
    </row>
    <row r="471" ht="22.5" customHeight="1">
      <c r="A471" s="233"/>
      <c r="B471" s="234"/>
      <c r="C471" s="227"/>
      <c r="D471" s="226"/>
      <c r="E471" s="235"/>
      <c r="F471" s="90"/>
    </row>
    <row r="472" ht="22.5" customHeight="1">
      <c r="A472" s="233"/>
      <c r="B472" s="234"/>
      <c r="C472" s="227"/>
      <c r="D472" s="226"/>
      <c r="E472" s="235"/>
      <c r="F472" s="90"/>
    </row>
    <row r="473" ht="22.5" customHeight="1">
      <c r="A473" s="233"/>
      <c r="B473" s="234"/>
      <c r="C473" s="227"/>
      <c r="D473" s="226"/>
      <c r="E473" s="235"/>
      <c r="F473" s="90"/>
    </row>
    <row r="474" ht="22.5" customHeight="1">
      <c r="A474" s="233"/>
      <c r="B474" s="234"/>
      <c r="C474" s="227"/>
      <c r="D474" s="226"/>
      <c r="E474" s="235"/>
      <c r="F474" s="90"/>
    </row>
    <row r="475" ht="22.5" customHeight="1">
      <c r="A475" s="233"/>
      <c r="B475" s="234"/>
      <c r="C475" s="227"/>
      <c r="D475" s="226"/>
      <c r="E475" s="235"/>
      <c r="F475" s="90"/>
    </row>
    <row r="476" ht="22.5" customHeight="1">
      <c r="A476" s="233"/>
      <c r="B476" s="234"/>
      <c r="C476" s="227"/>
      <c r="D476" s="226"/>
      <c r="E476" s="235"/>
      <c r="F476" s="90"/>
    </row>
    <row r="477" ht="22.5" customHeight="1">
      <c r="A477" s="233"/>
      <c r="B477" s="234"/>
      <c r="C477" s="227"/>
      <c r="D477" s="226"/>
      <c r="E477" s="235"/>
      <c r="F477" s="90"/>
    </row>
    <row r="478" ht="22.5" customHeight="1">
      <c r="A478" s="233"/>
      <c r="B478" s="234"/>
      <c r="C478" s="227"/>
      <c r="D478" s="226"/>
      <c r="E478" s="235"/>
      <c r="F478" s="90"/>
    </row>
    <row r="479" ht="22.5" customHeight="1">
      <c r="A479" s="233"/>
      <c r="B479" s="234"/>
      <c r="C479" s="227"/>
      <c r="D479" s="226"/>
      <c r="E479" s="235"/>
      <c r="F479" s="90"/>
    </row>
    <row r="480" ht="22.5" customHeight="1">
      <c r="A480" s="233"/>
      <c r="B480" s="234"/>
      <c r="C480" s="227"/>
      <c r="D480" s="226"/>
      <c r="E480" s="235"/>
      <c r="F480" s="90"/>
    </row>
    <row r="481" ht="22.5" customHeight="1">
      <c r="A481" s="233"/>
      <c r="B481" s="234"/>
      <c r="C481" s="227"/>
      <c r="D481" s="226"/>
      <c r="E481" s="235"/>
      <c r="F481" s="90"/>
    </row>
    <row r="482" ht="22.5" customHeight="1">
      <c r="A482" s="233"/>
      <c r="B482" s="234"/>
      <c r="C482" s="227"/>
      <c r="D482" s="226"/>
      <c r="E482" s="235"/>
      <c r="F482" s="90"/>
    </row>
    <row r="483" ht="22.5" customHeight="1">
      <c r="A483" s="233"/>
      <c r="B483" s="234"/>
      <c r="C483" s="227"/>
      <c r="D483" s="226"/>
      <c r="E483" s="235"/>
      <c r="F483" s="90"/>
    </row>
    <row r="484" ht="22.5" customHeight="1">
      <c r="A484" s="233"/>
      <c r="B484" s="234"/>
      <c r="C484" s="227"/>
      <c r="D484" s="226"/>
      <c r="E484" s="235"/>
      <c r="F484" s="90"/>
    </row>
    <row r="485" ht="22.5" customHeight="1">
      <c r="A485" s="233"/>
      <c r="B485" s="234"/>
      <c r="C485" s="227"/>
      <c r="D485" s="226"/>
      <c r="E485" s="235"/>
      <c r="F485" s="90"/>
    </row>
    <row r="486" ht="22.5" customHeight="1">
      <c r="A486" s="233"/>
      <c r="B486" s="234"/>
      <c r="C486" s="227"/>
      <c r="D486" s="226"/>
      <c r="E486" s="235"/>
      <c r="F486" s="90"/>
    </row>
    <row r="487" ht="22.5" customHeight="1">
      <c r="A487" s="233"/>
      <c r="B487" s="234"/>
      <c r="C487" s="227"/>
      <c r="D487" s="226"/>
      <c r="E487" s="235"/>
      <c r="F487" s="90"/>
    </row>
    <row r="488" ht="22.5" customHeight="1">
      <c r="A488" s="233"/>
      <c r="B488" s="234"/>
      <c r="C488" s="227"/>
      <c r="D488" s="226"/>
      <c r="E488" s="235"/>
      <c r="F488" s="90"/>
    </row>
    <row r="489" ht="22.5" customHeight="1">
      <c r="A489" s="233"/>
      <c r="B489" s="234"/>
      <c r="C489" s="227"/>
      <c r="D489" s="226"/>
      <c r="E489" s="235"/>
      <c r="F489" s="90"/>
    </row>
    <row r="490" ht="22.5" customHeight="1">
      <c r="A490" s="233"/>
      <c r="B490" s="234"/>
      <c r="C490" s="227"/>
      <c r="D490" s="226"/>
      <c r="E490" s="235"/>
      <c r="F490" s="90"/>
    </row>
    <row r="491" ht="22.5" customHeight="1">
      <c r="A491" s="233"/>
      <c r="B491" s="234"/>
      <c r="C491" s="227"/>
      <c r="D491" s="226"/>
      <c r="E491" s="235"/>
      <c r="F491" s="90"/>
    </row>
    <row r="492" ht="22.5" customHeight="1">
      <c r="A492" s="233"/>
      <c r="B492" s="234"/>
      <c r="C492" s="227"/>
      <c r="D492" s="226"/>
      <c r="E492" s="235"/>
      <c r="F492" s="90"/>
    </row>
    <row r="493" ht="22.5" customHeight="1">
      <c r="A493" s="233"/>
      <c r="B493" s="234"/>
      <c r="C493" s="227"/>
      <c r="D493" s="226"/>
      <c r="E493" s="235"/>
      <c r="F493" s="90"/>
    </row>
    <row r="494" ht="22.5" customHeight="1">
      <c r="A494" s="233"/>
      <c r="B494" s="234"/>
      <c r="C494" s="227"/>
      <c r="D494" s="226"/>
      <c r="E494" s="235"/>
      <c r="F494" s="90"/>
    </row>
    <row r="495" ht="22.5" customHeight="1">
      <c r="A495" s="233"/>
      <c r="B495" s="234"/>
      <c r="C495" s="227"/>
      <c r="D495" s="226"/>
      <c r="E495" s="235"/>
      <c r="F495" s="90"/>
    </row>
    <row r="496" ht="22.5" customHeight="1">
      <c r="A496" s="233"/>
      <c r="B496" s="234"/>
      <c r="C496" s="227"/>
      <c r="D496" s="226"/>
      <c r="E496" s="235"/>
      <c r="F496" s="90"/>
    </row>
    <row r="497" ht="22.5" customHeight="1">
      <c r="A497" s="233"/>
      <c r="B497" s="234"/>
      <c r="C497" s="227"/>
      <c r="D497" s="226"/>
      <c r="E497" s="235"/>
      <c r="F497" s="90"/>
    </row>
    <row r="498" ht="22.5" customHeight="1">
      <c r="A498" s="233"/>
      <c r="B498" s="234"/>
      <c r="C498" s="227"/>
      <c r="D498" s="226"/>
      <c r="E498" s="235"/>
      <c r="F498" s="90"/>
    </row>
    <row r="499" ht="22.5" customHeight="1">
      <c r="A499" s="233"/>
      <c r="B499" s="234"/>
      <c r="C499" s="227"/>
      <c r="D499" s="226"/>
      <c r="E499" s="235"/>
      <c r="F499" s="90"/>
    </row>
    <row r="500" ht="22.5" customHeight="1">
      <c r="A500" s="233"/>
      <c r="B500" s="234"/>
      <c r="C500" s="227"/>
      <c r="D500" s="226"/>
      <c r="E500" s="235"/>
      <c r="F500" s="90"/>
    </row>
    <row r="501" ht="22.5" customHeight="1">
      <c r="A501" s="233"/>
      <c r="B501" s="234"/>
      <c r="C501" s="227"/>
      <c r="D501" s="226"/>
      <c r="E501" s="235"/>
      <c r="F501" s="90"/>
    </row>
    <row r="502" ht="22.5" customHeight="1">
      <c r="A502" s="233"/>
      <c r="B502" s="234"/>
      <c r="C502" s="227"/>
      <c r="D502" s="226"/>
      <c r="E502" s="235"/>
      <c r="F502" s="90"/>
    </row>
    <row r="503" ht="22.5" customHeight="1">
      <c r="A503" s="233"/>
      <c r="B503" s="234"/>
      <c r="C503" s="227"/>
      <c r="D503" s="226"/>
      <c r="E503" s="235"/>
      <c r="F503" s="90"/>
    </row>
    <row r="504" ht="22.5" customHeight="1">
      <c r="A504" s="233"/>
      <c r="B504" s="234"/>
      <c r="C504" s="227"/>
      <c r="D504" s="226"/>
      <c r="E504" s="235"/>
      <c r="F504" s="90"/>
    </row>
    <row r="505" ht="22.5" customHeight="1">
      <c r="A505" s="233"/>
      <c r="B505" s="234"/>
      <c r="C505" s="227"/>
      <c r="D505" s="226"/>
      <c r="E505" s="235"/>
      <c r="F505" s="90"/>
    </row>
    <row r="506" ht="22.5" customHeight="1">
      <c r="A506" s="233"/>
      <c r="B506" s="234"/>
      <c r="C506" s="227"/>
      <c r="D506" s="226"/>
      <c r="E506" s="235"/>
      <c r="F506" s="90"/>
    </row>
    <row r="507" ht="22.5" customHeight="1">
      <c r="A507" s="233"/>
      <c r="B507" s="234"/>
      <c r="C507" s="227"/>
      <c r="D507" s="226"/>
      <c r="E507" s="235"/>
      <c r="F507" s="90"/>
    </row>
    <row r="508" ht="22.5" customHeight="1">
      <c r="A508" s="233"/>
      <c r="B508" s="234"/>
      <c r="C508" s="227"/>
      <c r="D508" s="226"/>
      <c r="E508" s="235"/>
      <c r="F508" s="90"/>
    </row>
    <row r="509" ht="22.5" customHeight="1">
      <c r="A509" s="233"/>
      <c r="B509" s="234"/>
      <c r="C509" s="227"/>
      <c r="D509" s="226"/>
      <c r="E509" s="235"/>
      <c r="F509" s="90"/>
    </row>
    <row r="510" ht="22.5" customHeight="1">
      <c r="A510" s="233"/>
      <c r="B510" s="234"/>
      <c r="C510" s="227"/>
      <c r="D510" s="226"/>
      <c r="E510" s="235"/>
      <c r="F510" s="90"/>
    </row>
    <row r="511" ht="22.5" customHeight="1">
      <c r="A511" s="233"/>
      <c r="B511" s="234"/>
      <c r="C511" s="227"/>
      <c r="D511" s="226"/>
      <c r="E511" s="235"/>
      <c r="F511" s="90"/>
    </row>
    <row r="512" ht="22.5" customHeight="1">
      <c r="A512" s="233"/>
      <c r="B512" s="234"/>
      <c r="C512" s="227"/>
      <c r="D512" s="226"/>
      <c r="E512" s="235"/>
      <c r="F512" s="90"/>
    </row>
    <row r="513" ht="22.5" customHeight="1">
      <c r="A513" s="233"/>
      <c r="B513" s="234"/>
      <c r="C513" s="227"/>
      <c r="D513" s="226"/>
      <c r="E513" s="235"/>
      <c r="F513" s="90"/>
    </row>
    <row r="514" ht="22.5" customHeight="1">
      <c r="A514" s="233"/>
      <c r="B514" s="234"/>
      <c r="C514" s="227"/>
      <c r="D514" s="226"/>
      <c r="E514" s="235"/>
      <c r="F514" s="90"/>
    </row>
    <row r="515" ht="22.5" customHeight="1">
      <c r="A515" s="233"/>
      <c r="B515" s="234"/>
      <c r="C515" s="227"/>
      <c r="D515" s="226"/>
      <c r="E515" s="235"/>
      <c r="F515" s="90"/>
    </row>
    <row r="516" ht="22.5" customHeight="1">
      <c r="A516" s="233"/>
      <c r="B516" s="234"/>
      <c r="C516" s="227"/>
      <c r="D516" s="226"/>
      <c r="E516" s="235"/>
      <c r="F516" s="90"/>
    </row>
    <row r="517" ht="22.5" customHeight="1">
      <c r="A517" s="233"/>
      <c r="B517" s="234"/>
      <c r="C517" s="227"/>
      <c r="D517" s="226"/>
      <c r="E517" s="235"/>
      <c r="F517" s="90"/>
    </row>
    <row r="518" ht="22.5" customHeight="1">
      <c r="A518" s="233"/>
      <c r="B518" s="234"/>
      <c r="C518" s="227"/>
      <c r="D518" s="226"/>
      <c r="E518" s="235"/>
      <c r="F518" s="90"/>
    </row>
    <row r="519" ht="22.5" customHeight="1">
      <c r="A519" s="233"/>
      <c r="B519" s="234"/>
      <c r="C519" s="227"/>
      <c r="D519" s="226"/>
      <c r="E519" s="235"/>
      <c r="F519" s="90"/>
    </row>
    <row r="520" ht="22.5" customHeight="1">
      <c r="A520" s="233"/>
      <c r="B520" s="234"/>
      <c r="C520" s="227"/>
      <c r="D520" s="226"/>
      <c r="E520" s="235"/>
      <c r="F520" s="90"/>
    </row>
    <row r="521" ht="22.5" customHeight="1">
      <c r="A521" s="233"/>
      <c r="B521" s="234"/>
      <c r="C521" s="227"/>
      <c r="D521" s="226"/>
      <c r="E521" s="235"/>
      <c r="F521" s="90"/>
    </row>
    <row r="522" ht="22.5" customHeight="1">
      <c r="A522" s="233"/>
      <c r="B522" s="234"/>
      <c r="C522" s="227"/>
      <c r="D522" s="226"/>
      <c r="E522" s="235"/>
      <c r="F522" s="90"/>
    </row>
    <row r="523" ht="22.5" customHeight="1">
      <c r="A523" s="233"/>
      <c r="B523" s="234"/>
      <c r="C523" s="227"/>
      <c r="D523" s="226"/>
      <c r="E523" s="235"/>
      <c r="F523" s="90"/>
    </row>
    <row r="524" ht="22.5" customHeight="1">
      <c r="A524" s="233"/>
      <c r="B524" s="234"/>
      <c r="C524" s="227"/>
      <c r="D524" s="226"/>
      <c r="E524" s="235"/>
      <c r="F524" s="90"/>
    </row>
    <row r="525" ht="22.5" customHeight="1">
      <c r="A525" s="233"/>
      <c r="B525" s="234"/>
      <c r="C525" s="227"/>
      <c r="D525" s="226"/>
      <c r="E525" s="235"/>
      <c r="F525" s="90"/>
    </row>
    <row r="526" ht="22.5" customHeight="1">
      <c r="A526" s="233"/>
      <c r="B526" s="234"/>
      <c r="C526" s="227"/>
      <c r="D526" s="226"/>
      <c r="E526" s="235"/>
      <c r="F526" s="90"/>
    </row>
    <row r="527" ht="22.5" customHeight="1">
      <c r="A527" s="233"/>
      <c r="B527" s="234"/>
      <c r="C527" s="227"/>
      <c r="D527" s="226"/>
      <c r="E527" s="235"/>
      <c r="F527" s="90"/>
    </row>
    <row r="528" ht="22.5" customHeight="1">
      <c r="A528" s="233"/>
      <c r="B528" s="234"/>
      <c r="C528" s="227"/>
      <c r="D528" s="226"/>
      <c r="E528" s="235"/>
      <c r="F528" s="90"/>
    </row>
    <row r="529" ht="22.5" customHeight="1">
      <c r="A529" s="233"/>
      <c r="B529" s="234"/>
      <c r="C529" s="227"/>
      <c r="D529" s="226"/>
      <c r="E529" s="235"/>
      <c r="F529" s="90"/>
    </row>
    <row r="530" ht="22.5" customHeight="1">
      <c r="A530" s="233"/>
      <c r="B530" s="234"/>
      <c r="C530" s="227"/>
      <c r="D530" s="226"/>
      <c r="E530" s="235"/>
      <c r="F530" s="90"/>
    </row>
    <row r="531" ht="22.5" customHeight="1">
      <c r="A531" s="233"/>
      <c r="B531" s="234"/>
      <c r="C531" s="227"/>
      <c r="D531" s="226"/>
      <c r="E531" s="235"/>
      <c r="F531" s="90"/>
    </row>
    <row r="532" ht="22.5" customHeight="1">
      <c r="A532" s="233"/>
      <c r="B532" s="234"/>
      <c r="C532" s="227"/>
      <c r="D532" s="226"/>
      <c r="E532" s="235"/>
      <c r="F532" s="90"/>
    </row>
    <row r="533" ht="22.5" customHeight="1">
      <c r="A533" s="233"/>
      <c r="B533" s="234"/>
      <c r="C533" s="227"/>
      <c r="D533" s="226"/>
      <c r="E533" s="235"/>
      <c r="F533" s="90"/>
    </row>
    <row r="534" ht="22.5" customHeight="1">
      <c r="A534" s="233"/>
      <c r="B534" s="234"/>
      <c r="C534" s="227"/>
      <c r="D534" s="226"/>
      <c r="E534" s="235"/>
      <c r="F534" s="90"/>
    </row>
    <row r="535" ht="22.5" customHeight="1">
      <c r="A535" s="233"/>
      <c r="B535" s="234"/>
      <c r="C535" s="227"/>
      <c r="D535" s="226"/>
      <c r="E535" s="235"/>
      <c r="F535" s="90"/>
    </row>
    <row r="536" ht="22.5" customHeight="1">
      <c r="A536" s="233"/>
      <c r="B536" s="234"/>
      <c r="C536" s="227"/>
      <c r="D536" s="226"/>
      <c r="E536" s="235"/>
      <c r="F536" s="90"/>
    </row>
    <row r="537" ht="22.5" customHeight="1">
      <c r="A537" s="233"/>
      <c r="B537" s="234"/>
      <c r="C537" s="227"/>
      <c r="D537" s="226"/>
      <c r="E537" s="235"/>
      <c r="F537" s="90"/>
    </row>
    <row r="538" ht="22.5" customHeight="1">
      <c r="A538" s="233"/>
      <c r="B538" s="234"/>
      <c r="C538" s="227"/>
      <c r="D538" s="226"/>
      <c r="E538" s="235"/>
      <c r="F538" s="90"/>
    </row>
    <row r="539" ht="22.5" customHeight="1">
      <c r="A539" s="233"/>
      <c r="B539" s="234"/>
      <c r="C539" s="227"/>
      <c r="D539" s="226"/>
      <c r="E539" s="235"/>
      <c r="F539" s="90"/>
    </row>
    <row r="540" ht="22.5" customHeight="1">
      <c r="A540" s="233"/>
      <c r="B540" s="234"/>
      <c r="C540" s="227"/>
      <c r="D540" s="226"/>
      <c r="E540" s="235"/>
      <c r="F540" s="90"/>
    </row>
    <row r="541" ht="22.5" customHeight="1">
      <c r="A541" s="233"/>
      <c r="B541" s="234"/>
      <c r="C541" s="227"/>
      <c r="D541" s="226"/>
      <c r="E541" s="235"/>
      <c r="F541" s="90"/>
    </row>
    <row r="542" ht="22.5" customHeight="1">
      <c r="A542" s="233"/>
      <c r="B542" s="234"/>
      <c r="C542" s="227"/>
      <c r="D542" s="226"/>
      <c r="E542" s="235"/>
      <c r="F542" s="90"/>
    </row>
    <row r="543" ht="22.5" customHeight="1">
      <c r="A543" s="233"/>
      <c r="B543" s="234"/>
      <c r="C543" s="227"/>
      <c r="D543" s="226"/>
      <c r="E543" s="235"/>
      <c r="F543" s="90"/>
    </row>
    <row r="544" ht="22.5" customHeight="1">
      <c r="A544" s="233"/>
      <c r="B544" s="234"/>
      <c r="C544" s="227"/>
      <c r="D544" s="226"/>
      <c r="E544" s="235"/>
      <c r="F544" s="90"/>
    </row>
    <row r="545" ht="22.5" customHeight="1">
      <c r="A545" s="233"/>
      <c r="B545" s="234"/>
      <c r="C545" s="227"/>
      <c r="D545" s="226"/>
      <c r="E545" s="235"/>
      <c r="F545" s="90"/>
    </row>
    <row r="546" ht="22.5" customHeight="1">
      <c r="A546" s="233"/>
      <c r="B546" s="234"/>
      <c r="C546" s="227"/>
      <c r="D546" s="226"/>
      <c r="E546" s="235"/>
      <c r="F546" s="90"/>
    </row>
    <row r="547" ht="22.5" customHeight="1">
      <c r="A547" s="233"/>
      <c r="B547" s="234"/>
      <c r="C547" s="227"/>
      <c r="D547" s="226"/>
      <c r="E547" s="235"/>
      <c r="F547" s="90"/>
    </row>
    <row r="548" ht="22.5" customHeight="1">
      <c r="A548" s="233"/>
      <c r="B548" s="234"/>
      <c r="C548" s="227"/>
      <c r="D548" s="226"/>
      <c r="E548" s="235"/>
      <c r="F548" s="90"/>
    </row>
    <row r="549" ht="22.5" customHeight="1">
      <c r="A549" s="233"/>
      <c r="B549" s="234"/>
      <c r="C549" s="227"/>
      <c r="D549" s="226"/>
      <c r="E549" s="235"/>
      <c r="F549" s="90"/>
    </row>
    <row r="550" ht="22.5" customHeight="1">
      <c r="A550" s="233"/>
      <c r="B550" s="234"/>
      <c r="C550" s="227"/>
      <c r="D550" s="226"/>
      <c r="E550" s="235"/>
      <c r="F550" s="90"/>
    </row>
    <row r="551" ht="22.5" customHeight="1">
      <c r="A551" s="233"/>
      <c r="B551" s="234"/>
      <c r="C551" s="227"/>
      <c r="D551" s="226"/>
      <c r="E551" s="235"/>
      <c r="F551" s="90"/>
    </row>
    <row r="552" ht="22.5" customHeight="1">
      <c r="A552" s="233"/>
      <c r="B552" s="234"/>
      <c r="C552" s="227"/>
      <c r="D552" s="226"/>
      <c r="E552" s="235"/>
      <c r="F552" s="90"/>
    </row>
    <row r="553" ht="22.5" customHeight="1">
      <c r="A553" s="233"/>
      <c r="B553" s="234"/>
      <c r="C553" s="227"/>
      <c r="D553" s="226"/>
      <c r="E553" s="235"/>
      <c r="F553" s="90"/>
    </row>
    <row r="554" ht="22.5" customHeight="1">
      <c r="A554" s="233"/>
      <c r="B554" s="234"/>
      <c r="C554" s="227"/>
      <c r="D554" s="226"/>
      <c r="E554" s="235"/>
      <c r="F554" s="90"/>
    </row>
    <row r="555" ht="22.5" customHeight="1">
      <c r="A555" s="233"/>
      <c r="B555" s="234"/>
      <c r="C555" s="227"/>
      <c r="D555" s="226"/>
      <c r="E555" s="235"/>
      <c r="F555" s="90"/>
    </row>
    <row r="556" ht="22.5" customHeight="1">
      <c r="A556" s="233"/>
      <c r="B556" s="234"/>
      <c r="C556" s="227"/>
      <c r="D556" s="226"/>
      <c r="E556" s="235"/>
      <c r="F556" s="90"/>
    </row>
    <row r="557" ht="22.5" customHeight="1">
      <c r="A557" s="233"/>
      <c r="B557" s="234"/>
      <c r="C557" s="227"/>
      <c r="D557" s="226"/>
      <c r="E557" s="235"/>
      <c r="F557" s="90"/>
    </row>
    <row r="558" ht="22.5" customHeight="1">
      <c r="A558" s="233"/>
      <c r="B558" s="234"/>
      <c r="C558" s="227"/>
      <c r="D558" s="226"/>
      <c r="E558" s="235"/>
      <c r="F558" s="90"/>
    </row>
    <row r="559" ht="22.5" customHeight="1">
      <c r="A559" s="233"/>
      <c r="B559" s="234"/>
      <c r="C559" s="227"/>
      <c r="D559" s="226"/>
      <c r="E559" s="235"/>
      <c r="F559" s="90"/>
    </row>
    <row r="560" ht="22.5" customHeight="1">
      <c r="A560" s="233"/>
      <c r="B560" s="234"/>
      <c r="C560" s="227"/>
      <c r="D560" s="226"/>
      <c r="E560" s="235"/>
      <c r="F560" s="90"/>
    </row>
    <row r="561" ht="22.5" customHeight="1">
      <c r="A561" s="233"/>
      <c r="B561" s="234"/>
      <c r="C561" s="227"/>
      <c r="D561" s="226"/>
      <c r="E561" s="235"/>
      <c r="F561" s="90"/>
    </row>
    <row r="562" ht="22.5" customHeight="1">
      <c r="A562" s="233"/>
      <c r="B562" s="234"/>
      <c r="C562" s="227"/>
      <c r="D562" s="226"/>
      <c r="E562" s="235"/>
      <c r="F562" s="90"/>
    </row>
    <row r="563" ht="22.5" customHeight="1">
      <c r="A563" s="233"/>
      <c r="B563" s="234"/>
      <c r="C563" s="227"/>
      <c r="D563" s="226"/>
      <c r="E563" s="235"/>
      <c r="F563" s="90"/>
    </row>
    <row r="564" ht="22.5" customHeight="1">
      <c r="A564" s="233"/>
      <c r="B564" s="234"/>
      <c r="C564" s="227"/>
      <c r="D564" s="226"/>
      <c r="E564" s="235"/>
      <c r="F564" s="90"/>
    </row>
    <row r="565" ht="22.5" customHeight="1">
      <c r="A565" s="233"/>
      <c r="B565" s="234"/>
      <c r="C565" s="227"/>
      <c r="D565" s="226"/>
      <c r="E565" s="235"/>
      <c r="F565" s="90"/>
    </row>
    <row r="566" ht="22.5" customHeight="1">
      <c r="A566" s="233"/>
      <c r="B566" s="234"/>
      <c r="C566" s="227"/>
      <c r="D566" s="226"/>
      <c r="E566" s="235"/>
      <c r="F566" s="90"/>
    </row>
    <row r="567" ht="22.5" customHeight="1">
      <c r="A567" s="233"/>
      <c r="B567" s="234"/>
      <c r="C567" s="227"/>
      <c r="D567" s="226"/>
      <c r="E567" s="235"/>
      <c r="F567" s="90"/>
    </row>
    <row r="568" ht="22.5" customHeight="1">
      <c r="A568" s="233"/>
      <c r="B568" s="234"/>
      <c r="C568" s="227"/>
      <c r="D568" s="226"/>
      <c r="E568" s="235"/>
      <c r="F568" s="90"/>
    </row>
    <row r="569" ht="22.5" customHeight="1">
      <c r="A569" s="233"/>
      <c r="B569" s="234"/>
      <c r="C569" s="227"/>
      <c r="D569" s="226"/>
      <c r="E569" s="235"/>
      <c r="F569" s="90"/>
    </row>
    <row r="570" ht="22.5" customHeight="1">
      <c r="A570" s="233"/>
      <c r="B570" s="234"/>
      <c r="C570" s="227"/>
      <c r="D570" s="226"/>
      <c r="E570" s="235"/>
      <c r="F570" s="90"/>
    </row>
    <row r="571" ht="22.5" customHeight="1">
      <c r="A571" s="233"/>
      <c r="B571" s="234"/>
      <c r="C571" s="227"/>
      <c r="D571" s="226"/>
      <c r="E571" s="235"/>
      <c r="F571" s="90"/>
    </row>
    <row r="572" ht="22.5" customHeight="1">
      <c r="A572" s="233"/>
      <c r="B572" s="234"/>
      <c r="C572" s="227"/>
      <c r="D572" s="226"/>
      <c r="E572" s="235"/>
      <c r="F572" s="90"/>
    </row>
    <row r="573" ht="22.5" customHeight="1">
      <c r="A573" s="233"/>
      <c r="B573" s="234"/>
      <c r="C573" s="227"/>
      <c r="D573" s="226"/>
      <c r="E573" s="235"/>
      <c r="F573" s="90"/>
    </row>
    <row r="574" ht="22.5" customHeight="1">
      <c r="A574" s="233"/>
      <c r="B574" s="234"/>
      <c r="C574" s="227"/>
      <c r="D574" s="226"/>
      <c r="E574" s="235"/>
      <c r="F574" s="90"/>
    </row>
    <row r="575" ht="22.5" customHeight="1">
      <c r="A575" s="233"/>
      <c r="B575" s="234"/>
      <c r="C575" s="227"/>
      <c r="D575" s="226"/>
      <c r="E575" s="235"/>
      <c r="F575" s="90"/>
    </row>
    <row r="576" ht="22.5" customHeight="1">
      <c r="A576" s="233"/>
      <c r="B576" s="234"/>
      <c r="C576" s="227"/>
      <c r="D576" s="226"/>
      <c r="E576" s="235"/>
      <c r="F576" s="90"/>
    </row>
    <row r="577" ht="22.5" customHeight="1">
      <c r="A577" s="233"/>
      <c r="B577" s="234"/>
      <c r="C577" s="227"/>
      <c r="D577" s="226"/>
      <c r="E577" s="235"/>
      <c r="F577" s="90"/>
    </row>
    <row r="578" ht="22.5" customHeight="1">
      <c r="A578" s="233"/>
      <c r="B578" s="234"/>
      <c r="C578" s="227"/>
      <c r="D578" s="226"/>
      <c r="E578" s="235"/>
      <c r="F578" s="90"/>
    </row>
    <row r="579" ht="22.5" customHeight="1">
      <c r="A579" s="233"/>
      <c r="B579" s="234"/>
      <c r="C579" s="227"/>
      <c r="D579" s="226"/>
      <c r="E579" s="235"/>
      <c r="F579" s="90"/>
    </row>
    <row r="580" ht="22.5" customHeight="1">
      <c r="A580" s="233"/>
      <c r="B580" s="234"/>
      <c r="C580" s="227"/>
      <c r="D580" s="226"/>
      <c r="E580" s="235"/>
      <c r="F580" s="90"/>
    </row>
    <row r="581" ht="22.5" customHeight="1">
      <c r="A581" s="233"/>
      <c r="B581" s="234"/>
      <c r="C581" s="227"/>
      <c r="D581" s="226"/>
      <c r="E581" s="235"/>
      <c r="F581" s="90"/>
    </row>
    <row r="582" ht="22.5" customHeight="1">
      <c r="A582" s="233"/>
      <c r="B582" s="234"/>
      <c r="C582" s="227"/>
      <c r="D582" s="226"/>
      <c r="E582" s="235"/>
      <c r="F582" s="90"/>
    </row>
    <row r="583" ht="22.5" customHeight="1">
      <c r="A583" s="233"/>
      <c r="B583" s="234"/>
      <c r="C583" s="227"/>
      <c r="D583" s="226"/>
      <c r="E583" s="235"/>
      <c r="F583" s="90"/>
    </row>
    <row r="584" ht="22.5" customHeight="1">
      <c r="A584" s="233"/>
      <c r="B584" s="234"/>
      <c r="C584" s="227"/>
      <c r="D584" s="226"/>
      <c r="E584" s="235"/>
      <c r="F584" s="90"/>
    </row>
    <row r="585" ht="22.5" customHeight="1">
      <c r="A585" s="233"/>
      <c r="B585" s="234"/>
      <c r="C585" s="227"/>
      <c r="D585" s="226"/>
      <c r="E585" s="235"/>
      <c r="F585" s="90"/>
    </row>
    <row r="586" ht="22.5" customHeight="1">
      <c r="A586" s="233"/>
      <c r="B586" s="234"/>
      <c r="C586" s="227"/>
      <c r="D586" s="226"/>
      <c r="E586" s="235"/>
      <c r="F586" s="90"/>
    </row>
    <row r="587" ht="22.5" customHeight="1">
      <c r="A587" s="233"/>
      <c r="B587" s="234"/>
      <c r="C587" s="227"/>
      <c r="D587" s="226"/>
      <c r="E587" s="235"/>
      <c r="F587" s="90"/>
    </row>
    <row r="588" ht="22.5" customHeight="1">
      <c r="A588" s="233"/>
      <c r="B588" s="234"/>
      <c r="C588" s="227"/>
      <c r="D588" s="226"/>
      <c r="E588" s="235"/>
      <c r="F588" s="90"/>
    </row>
    <row r="589" ht="22.5" customHeight="1">
      <c r="A589" s="233"/>
      <c r="B589" s="234"/>
      <c r="C589" s="227"/>
      <c r="D589" s="226"/>
      <c r="E589" s="235"/>
      <c r="F589" s="90"/>
    </row>
    <row r="590" ht="22.5" customHeight="1">
      <c r="A590" s="233"/>
      <c r="B590" s="234"/>
      <c r="C590" s="227"/>
      <c r="D590" s="226"/>
      <c r="E590" s="235"/>
      <c r="F590" s="90"/>
    </row>
    <row r="591" ht="22.5" customHeight="1">
      <c r="A591" s="233"/>
      <c r="B591" s="234"/>
      <c r="C591" s="227"/>
      <c r="D591" s="226"/>
      <c r="E591" s="235"/>
      <c r="F591" s="90"/>
    </row>
    <row r="592" ht="22.5" customHeight="1">
      <c r="A592" s="233"/>
      <c r="B592" s="234"/>
      <c r="C592" s="227"/>
      <c r="D592" s="226"/>
      <c r="E592" s="235"/>
      <c r="F592" s="90"/>
    </row>
    <row r="593" ht="22.5" customHeight="1">
      <c r="A593" s="233"/>
      <c r="B593" s="234"/>
      <c r="C593" s="227"/>
      <c r="D593" s="226"/>
      <c r="E593" s="235"/>
      <c r="F593" s="90"/>
    </row>
    <row r="594" ht="22.5" customHeight="1">
      <c r="A594" s="233"/>
      <c r="B594" s="234"/>
      <c r="C594" s="227"/>
      <c r="D594" s="226"/>
      <c r="E594" s="235"/>
      <c r="F594" s="90"/>
    </row>
    <row r="595" ht="22.5" customHeight="1">
      <c r="A595" s="233"/>
      <c r="B595" s="234"/>
      <c r="C595" s="227"/>
      <c r="D595" s="226"/>
      <c r="E595" s="235"/>
      <c r="F595" s="90"/>
    </row>
    <row r="596" ht="22.5" customHeight="1">
      <c r="A596" s="233"/>
      <c r="B596" s="234"/>
      <c r="C596" s="227"/>
      <c r="D596" s="226"/>
      <c r="E596" s="235"/>
      <c r="F596" s="90"/>
    </row>
    <row r="597" ht="22.5" customHeight="1">
      <c r="A597" s="233"/>
      <c r="B597" s="234"/>
      <c r="C597" s="227"/>
      <c r="D597" s="226"/>
      <c r="E597" s="235"/>
      <c r="F597" s="90"/>
    </row>
    <row r="598" ht="22.5" customHeight="1">
      <c r="A598" s="233"/>
      <c r="B598" s="234"/>
      <c r="C598" s="227"/>
      <c r="D598" s="226"/>
      <c r="E598" s="235"/>
      <c r="F598" s="90"/>
    </row>
    <row r="599" ht="22.5" customHeight="1">
      <c r="A599" s="233"/>
      <c r="B599" s="234"/>
      <c r="C599" s="227"/>
      <c r="D599" s="226"/>
      <c r="E599" s="235"/>
      <c r="F599" s="90"/>
    </row>
    <row r="600" ht="22.5" customHeight="1">
      <c r="A600" s="233"/>
      <c r="B600" s="234"/>
      <c r="C600" s="227"/>
      <c r="D600" s="226"/>
      <c r="E600" s="235"/>
      <c r="F600" s="90"/>
    </row>
    <row r="601" ht="22.5" customHeight="1">
      <c r="A601" s="233"/>
      <c r="B601" s="234"/>
      <c r="C601" s="227"/>
      <c r="D601" s="226"/>
      <c r="E601" s="235"/>
      <c r="F601" s="90"/>
    </row>
    <row r="602" ht="22.5" customHeight="1">
      <c r="A602" s="233"/>
      <c r="B602" s="234"/>
      <c r="C602" s="227"/>
      <c r="D602" s="226"/>
      <c r="E602" s="235"/>
      <c r="F602" s="90"/>
    </row>
    <row r="603" ht="22.5" customHeight="1">
      <c r="A603" s="233"/>
      <c r="B603" s="234"/>
      <c r="C603" s="227"/>
      <c r="D603" s="226"/>
      <c r="E603" s="235"/>
      <c r="F603" s="90"/>
    </row>
    <row r="604" ht="22.5" customHeight="1">
      <c r="A604" s="233"/>
      <c r="B604" s="234"/>
      <c r="C604" s="227"/>
      <c r="D604" s="226"/>
      <c r="E604" s="235"/>
      <c r="F604" s="90"/>
    </row>
    <row r="605" ht="22.5" customHeight="1">
      <c r="A605" s="233"/>
      <c r="B605" s="234"/>
      <c r="C605" s="227"/>
      <c r="D605" s="226"/>
      <c r="E605" s="235"/>
      <c r="F605" s="90"/>
    </row>
    <row r="606" ht="22.5" customHeight="1">
      <c r="A606" s="233"/>
      <c r="B606" s="234"/>
      <c r="C606" s="227"/>
      <c r="D606" s="226"/>
      <c r="E606" s="235"/>
      <c r="F606" s="90"/>
    </row>
    <row r="607" ht="22.5" customHeight="1">
      <c r="A607" s="233"/>
      <c r="B607" s="234"/>
      <c r="C607" s="227"/>
      <c r="D607" s="226"/>
      <c r="E607" s="235"/>
      <c r="F607" s="90"/>
    </row>
    <row r="608" ht="22.5" customHeight="1">
      <c r="A608" s="233"/>
      <c r="B608" s="234"/>
      <c r="C608" s="227"/>
      <c r="D608" s="226"/>
      <c r="E608" s="235"/>
      <c r="F608" s="90"/>
    </row>
    <row r="609" ht="22.5" customHeight="1">
      <c r="A609" s="233"/>
      <c r="B609" s="234"/>
      <c r="C609" s="227"/>
      <c r="D609" s="226"/>
      <c r="E609" s="235"/>
      <c r="F609" s="90"/>
    </row>
    <row r="610" ht="22.5" customHeight="1">
      <c r="A610" s="233"/>
      <c r="B610" s="234"/>
      <c r="C610" s="227"/>
      <c r="D610" s="226"/>
      <c r="E610" s="235"/>
      <c r="F610" s="90"/>
    </row>
    <row r="611" ht="22.5" customHeight="1">
      <c r="A611" s="233"/>
      <c r="B611" s="234"/>
      <c r="C611" s="227"/>
      <c r="D611" s="226"/>
      <c r="E611" s="235"/>
      <c r="F611" s="90"/>
    </row>
    <row r="612" ht="22.5" customHeight="1">
      <c r="A612" s="233"/>
      <c r="B612" s="234"/>
      <c r="C612" s="227"/>
      <c r="D612" s="226"/>
      <c r="E612" s="235"/>
      <c r="F612" s="90"/>
    </row>
    <row r="613" ht="22.5" customHeight="1">
      <c r="A613" s="233"/>
      <c r="B613" s="234"/>
      <c r="C613" s="227"/>
      <c r="D613" s="226"/>
      <c r="E613" s="235"/>
      <c r="F613" s="90"/>
    </row>
    <row r="614" ht="22.5" customHeight="1">
      <c r="A614" s="233"/>
      <c r="B614" s="234"/>
      <c r="C614" s="227"/>
      <c r="D614" s="226"/>
      <c r="E614" s="235"/>
      <c r="F614" s="90"/>
    </row>
    <row r="615" ht="22.5" customHeight="1">
      <c r="A615" s="233"/>
      <c r="B615" s="234"/>
      <c r="C615" s="227"/>
      <c r="D615" s="226"/>
      <c r="E615" s="235"/>
      <c r="F615" s="90"/>
    </row>
    <row r="616" ht="22.5" customHeight="1">
      <c r="A616" s="233"/>
      <c r="B616" s="234"/>
      <c r="C616" s="227"/>
      <c r="D616" s="226"/>
      <c r="E616" s="235"/>
      <c r="F616" s="90"/>
    </row>
    <row r="617" ht="22.5" customHeight="1">
      <c r="A617" s="233"/>
      <c r="B617" s="234"/>
      <c r="C617" s="227"/>
      <c r="D617" s="226"/>
      <c r="E617" s="235"/>
      <c r="F617" s="90"/>
    </row>
    <row r="618" ht="22.5" customHeight="1">
      <c r="A618" s="233"/>
      <c r="B618" s="234"/>
      <c r="C618" s="227"/>
      <c r="D618" s="226"/>
      <c r="E618" s="235"/>
      <c r="F618" s="90"/>
    </row>
    <row r="619" ht="22.5" customHeight="1">
      <c r="A619" s="233"/>
      <c r="B619" s="234"/>
      <c r="C619" s="227"/>
      <c r="D619" s="226"/>
      <c r="E619" s="235"/>
      <c r="F619" s="90"/>
    </row>
    <row r="620" ht="22.5" customHeight="1">
      <c r="A620" s="233"/>
      <c r="B620" s="234"/>
      <c r="C620" s="227"/>
      <c r="D620" s="226"/>
      <c r="E620" s="235"/>
      <c r="F620" s="90"/>
    </row>
    <row r="621" ht="22.5" customHeight="1">
      <c r="A621" s="233"/>
      <c r="B621" s="234"/>
      <c r="C621" s="227"/>
      <c r="D621" s="226"/>
      <c r="E621" s="235"/>
      <c r="F621" s="90"/>
    </row>
    <row r="622" ht="22.5" customHeight="1">
      <c r="A622" s="233"/>
      <c r="B622" s="234"/>
      <c r="C622" s="227"/>
      <c r="D622" s="226"/>
      <c r="E622" s="235"/>
      <c r="F622" s="90"/>
    </row>
    <row r="623" ht="22.5" customHeight="1">
      <c r="A623" s="233"/>
      <c r="B623" s="234"/>
      <c r="C623" s="227"/>
      <c r="D623" s="226"/>
      <c r="E623" s="235"/>
      <c r="F623" s="90"/>
    </row>
    <row r="624" ht="22.5" customHeight="1">
      <c r="A624" s="233"/>
      <c r="B624" s="234"/>
      <c r="C624" s="227"/>
      <c r="D624" s="226"/>
      <c r="E624" s="235"/>
      <c r="F624" s="90"/>
    </row>
    <row r="625" ht="22.5" customHeight="1">
      <c r="A625" s="233"/>
      <c r="B625" s="234"/>
      <c r="C625" s="227"/>
      <c r="D625" s="226"/>
      <c r="E625" s="235"/>
      <c r="F625" s="90"/>
    </row>
    <row r="626" ht="22.5" customHeight="1">
      <c r="A626" s="233"/>
      <c r="B626" s="234"/>
      <c r="C626" s="227"/>
      <c r="D626" s="226"/>
      <c r="E626" s="235"/>
      <c r="F626" s="90"/>
    </row>
    <row r="627" ht="22.5" customHeight="1">
      <c r="A627" s="233"/>
      <c r="B627" s="234"/>
      <c r="C627" s="227"/>
      <c r="D627" s="226"/>
      <c r="E627" s="235"/>
      <c r="F627" s="90"/>
    </row>
    <row r="628" ht="22.5" customHeight="1">
      <c r="A628" s="233"/>
      <c r="B628" s="234"/>
      <c r="C628" s="227"/>
      <c r="D628" s="226"/>
      <c r="E628" s="235"/>
      <c r="F628" s="90"/>
    </row>
    <row r="629" ht="22.5" customHeight="1">
      <c r="A629" s="233"/>
      <c r="B629" s="234"/>
      <c r="C629" s="227"/>
      <c r="D629" s="226"/>
      <c r="E629" s="235"/>
      <c r="F629" s="90"/>
    </row>
    <row r="630" ht="22.5" customHeight="1">
      <c r="A630" s="233"/>
      <c r="B630" s="234"/>
      <c r="C630" s="227"/>
      <c r="D630" s="226"/>
      <c r="E630" s="235"/>
      <c r="F630" s="90"/>
    </row>
    <row r="631" ht="22.5" customHeight="1">
      <c r="A631" s="233"/>
      <c r="B631" s="234"/>
      <c r="C631" s="227"/>
      <c r="D631" s="226"/>
      <c r="E631" s="235"/>
      <c r="F631" s="90"/>
    </row>
    <row r="632" ht="22.5" customHeight="1">
      <c r="A632" s="233"/>
      <c r="B632" s="234"/>
      <c r="C632" s="227"/>
      <c r="D632" s="226"/>
      <c r="E632" s="235"/>
      <c r="F632" s="90"/>
    </row>
    <row r="633" ht="22.5" customHeight="1">
      <c r="A633" s="233"/>
      <c r="B633" s="234"/>
      <c r="C633" s="227"/>
      <c r="D633" s="226"/>
      <c r="E633" s="235"/>
      <c r="F633" s="90"/>
    </row>
    <row r="634" ht="22.5" customHeight="1">
      <c r="A634" s="233"/>
      <c r="B634" s="234"/>
      <c r="C634" s="227"/>
      <c r="D634" s="226"/>
      <c r="E634" s="235"/>
      <c r="F634" s="90"/>
    </row>
    <row r="635" ht="22.5" customHeight="1">
      <c r="A635" s="233"/>
      <c r="B635" s="234"/>
      <c r="C635" s="227"/>
      <c r="D635" s="226"/>
      <c r="E635" s="235"/>
      <c r="F635" s="90"/>
    </row>
    <row r="636" ht="22.5" customHeight="1">
      <c r="A636" s="233"/>
      <c r="B636" s="234"/>
      <c r="C636" s="227"/>
      <c r="D636" s="226"/>
      <c r="E636" s="235"/>
      <c r="F636" s="90"/>
    </row>
    <row r="637" ht="22.5" customHeight="1">
      <c r="A637" s="233"/>
      <c r="B637" s="234"/>
      <c r="C637" s="227"/>
      <c r="D637" s="226"/>
      <c r="E637" s="235"/>
      <c r="F637" s="90"/>
    </row>
    <row r="638" ht="22.5" customHeight="1">
      <c r="A638" s="233"/>
      <c r="B638" s="234"/>
      <c r="C638" s="227"/>
      <c r="D638" s="226"/>
      <c r="E638" s="235"/>
      <c r="F638" s="90"/>
    </row>
    <row r="639" ht="22.5" customHeight="1">
      <c r="A639" s="233"/>
      <c r="B639" s="234"/>
      <c r="C639" s="227"/>
      <c r="D639" s="226"/>
      <c r="E639" s="235"/>
      <c r="F639" s="90"/>
    </row>
    <row r="640" ht="22.5" customHeight="1">
      <c r="A640" s="233"/>
      <c r="B640" s="234"/>
      <c r="C640" s="227"/>
      <c r="D640" s="226"/>
      <c r="E640" s="235"/>
      <c r="F640" s="90"/>
    </row>
    <row r="641" ht="22.5" customHeight="1">
      <c r="A641" s="233"/>
      <c r="B641" s="234"/>
      <c r="C641" s="227"/>
      <c r="D641" s="226"/>
      <c r="E641" s="235"/>
      <c r="F641" s="90"/>
    </row>
    <row r="642" ht="22.5" customHeight="1">
      <c r="A642" s="233"/>
      <c r="B642" s="234"/>
      <c r="C642" s="227"/>
      <c r="D642" s="226"/>
      <c r="E642" s="235"/>
      <c r="F642" s="90"/>
    </row>
    <row r="643" ht="22.5" customHeight="1">
      <c r="A643" s="233"/>
      <c r="B643" s="234"/>
      <c r="C643" s="227"/>
      <c r="D643" s="226"/>
      <c r="E643" s="235"/>
      <c r="F643" s="90"/>
    </row>
    <row r="644" ht="22.5" customHeight="1">
      <c r="A644" s="233"/>
      <c r="B644" s="234"/>
      <c r="C644" s="227"/>
      <c r="D644" s="226"/>
      <c r="E644" s="235"/>
      <c r="F644" s="90"/>
    </row>
    <row r="645" ht="22.5" customHeight="1">
      <c r="A645" s="233"/>
      <c r="B645" s="234"/>
      <c r="C645" s="227"/>
      <c r="D645" s="226"/>
      <c r="E645" s="235"/>
      <c r="F645" s="90"/>
    </row>
    <row r="646" ht="22.5" customHeight="1">
      <c r="A646" s="233"/>
      <c r="B646" s="234"/>
      <c r="C646" s="227"/>
      <c r="D646" s="226"/>
      <c r="E646" s="235"/>
      <c r="F646" s="90"/>
    </row>
    <row r="647" ht="22.5" customHeight="1">
      <c r="A647" s="233"/>
      <c r="B647" s="234"/>
      <c r="C647" s="227"/>
      <c r="D647" s="226"/>
      <c r="E647" s="235"/>
      <c r="F647" s="90"/>
    </row>
    <row r="648" ht="22.5" customHeight="1">
      <c r="A648" s="233"/>
      <c r="B648" s="234"/>
      <c r="C648" s="227"/>
      <c r="D648" s="226"/>
      <c r="E648" s="235"/>
      <c r="F648" s="90"/>
    </row>
    <row r="649" ht="22.5" customHeight="1">
      <c r="A649" s="233"/>
      <c r="B649" s="234"/>
      <c r="C649" s="227"/>
      <c r="D649" s="226"/>
      <c r="E649" s="235"/>
      <c r="F649" s="90"/>
    </row>
    <row r="650" ht="22.5" customHeight="1">
      <c r="A650" s="233"/>
      <c r="B650" s="234"/>
      <c r="C650" s="227"/>
      <c r="D650" s="226"/>
      <c r="E650" s="235"/>
      <c r="F650" s="90"/>
    </row>
    <row r="651" ht="22.5" customHeight="1">
      <c r="A651" s="233"/>
      <c r="B651" s="234"/>
      <c r="C651" s="227"/>
      <c r="D651" s="226"/>
      <c r="E651" s="235"/>
      <c r="F651" s="90"/>
    </row>
    <row r="652" ht="22.5" customHeight="1">
      <c r="A652" s="233"/>
      <c r="B652" s="234"/>
      <c r="C652" s="227"/>
      <c r="D652" s="226"/>
      <c r="E652" s="235"/>
      <c r="F652" s="90"/>
    </row>
    <row r="653" ht="22.5" customHeight="1">
      <c r="A653" s="233"/>
      <c r="B653" s="234"/>
      <c r="C653" s="227"/>
      <c r="D653" s="226"/>
      <c r="E653" s="235"/>
      <c r="F653" s="90"/>
    </row>
    <row r="654" ht="22.5" customHeight="1">
      <c r="A654" s="233"/>
      <c r="B654" s="234"/>
      <c r="C654" s="227"/>
      <c r="D654" s="226"/>
      <c r="E654" s="235"/>
      <c r="F654" s="90"/>
    </row>
    <row r="655" ht="22.5" customHeight="1">
      <c r="A655" s="233"/>
      <c r="B655" s="234"/>
      <c r="C655" s="227"/>
      <c r="D655" s="226"/>
      <c r="E655" s="235"/>
      <c r="F655" s="90"/>
    </row>
    <row r="656" ht="22.5" customHeight="1">
      <c r="A656" s="233"/>
      <c r="B656" s="234"/>
      <c r="C656" s="227"/>
      <c r="D656" s="226"/>
      <c r="E656" s="235"/>
      <c r="F656" s="90"/>
    </row>
    <row r="657" ht="22.5" customHeight="1">
      <c r="A657" s="233"/>
      <c r="B657" s="234"/>
      <c r="C657" s="227"/>
      <c r="D657" s="226"/>
      <c r="E657" s="235"/>
      <c r="F657" s="90"/>
    </row>
    <row r="658" ht="22.5" customHeight="1">
      <c r="A658" s="233"/>
      <c r="B658" s="234"/>
      <c r="C658" s="227"/>
      <c r="D658" s="226"/>
      <c r="E658" s="235"/>
      <c r="F658" s="90"/>
    </row>
    <row r="659" ht="22.5" customHeight="1">
      <c r="A659" s="233"/>
      <c r="B659" s="234"/>
      <c r="C659" s="227"/>
      <c r="D659" s="226"/>
      <c r="E659" s="235"/>
      <c r="F659" s="90"/>
    </row>
    <row r="660" ht="22.5" customHeight="1">
      <c r="A660" s="233"/>
      <c r="B660" s="234"/>
      <c r="C660" s="227"/>
      <c r="D660" s="226"/>
      <c r="E660" s="235"/>
      <c r="F660" s="90"/>
    </row>
    <row r="661" ht="22.5" customHeight="1">
      <c r="A661" s="233"/>
      <c r="B661" s="234"/>
      <c r="C661" s="227"/>
      <c r="D661" s="226"/>
      <c r="E661" s="235"/>
      <c r="F661" s="90"/>
    </row>
    <row r="662" ht="22.5" customHeight="1">
      <c r="A662" s="233"/>
      <c r="B662" s="234"/>
      <c r="C662" s="227"/>
      <c r="D662" s="226"/>
      <c r="E662" s="235"/>
      <c r="F662" s="90"/>
    </row>
    <row r="663" ht="22.5" customHeight="1">
      <c r="A663" s="233"/>
      <c r="B663" s="234"/>
      <c r="C663" s="227"/>
      <c r="D663" s="226"/>
      <c r="E663" s="235"/>
      <c r="F663" s="90"/>
    </row>
    <row r="664" ht="22.5" customHeight="1">
      <c r="A664" s="233"/>
      <c r="B664" s="234"/>
      <c r="C664" s="227"/>
      <c r="D664" s="226"/>
      <c r="E664" s="235"/>
      <c r="F664" s="90"/>
    </row>
    <row r="665" ht="22.5" customHeight="1">
      <c r="A665" s="233"/>
      <c r="B665" s="234"/>
      <c r="C665" s="227"/>
      <c r="D665" s="226"/>
      <c r="E665" s="235"/>
      <c r="F665" s="90"/>
    </row>
    <row r="666" ht="22.5" customHeight="1">
      <c r="A666" s="233"/>
      <c r="B666" s="234"/>
      <c r="C666" s="227"/>
      <c r="D666" s="226"/>
      <c r="E666" s="235"/>
      <c r="F666" s="90"/>
    </row>
    <row r="667" ht="22.5" customHeight="1">
      <c r="A667" s="233"/>
      <c r="B667" s="234"/>
      <c r="C667" s="227"/>
      <c r="D667" s="226"/>
      <c r="E667" s="235"/>
      <c r="F667" s="90"/>
    </row>
    <row r="668" ht="22.5" customHeight="1">
      <c r="A668" s="233"/>
      <c r="B668" s="234"/>
      <c r="C668" s="227"/>
      <c r="D668" s="226"/>
      <c r="E668" s="235"/>
      <c r="F668" s="90"/>
    </row>
    <row r="669" ht="22.5" customHeight="1">
      <c r="A669" s="233"/>
      <c r="B669" s="234"/>
      <c r="C669" s="227"/>
      <c r="D669" s="226"/>
      <c r="E669" s="235"/>
      <c r="F669" s="90"/>
    </row>
    <row r="670" ht="22.5" customHeight="1">
      <c r="A670" s="233"/>
      <c r="B670" s="234"/>
      <c r="C670" s="227"/>
      <c r="D670" s="226"/>
      <c r="E670" s="235"/>
      <c r="F670" s="90"/>
    </row>
    <row r="671" ht="22.5" customHeight="1">
      <c r="A671" s="233"/>
      <c r="B671" s="234"/>
      <c r="C671" s="227"/>
      <c r="D671" s="226"/>
      <c r="E671" s="235"/>
      <c r="F671" s="90"/>
    </row>
    <row r="672" ht="22.5" customHeight="1">
      <c r="A672" s="233"/>
      <c r="B672" s="234"/>
      <c r="C672" s="227"/>
      <c r="D672" s="226"/>
      <c r="E672" s="235"/>
      <c r="F672" s="90"/>
    </row>
    <row r="673" ht="22.5" customHeight="1">
      <c r="A673" s="233"/>
      <c r="B673" s="234"/>
      <c r="C673" s="227"/>
      <c r="D673" s="226"/>
      <c r="E673" s="235"/>
      <c r="F673" s="90"/>
    </row>
    <row r="674" ht="22.5" customHeight="1">
      <c r="A674" s="233"/>
      <c r="B674" s="234"/>
      <c r="C674" s="227"/>
      <c r="D674" s="226"/>
      <c r="E674" s="235"/>
      <c r="F674" s="90"/>
    </row>
    <row r="675" ht="22.5" customHeight="1">
      <c r="A675" s="233"/>
      <c r="B675" s="234"/>
      <c r="C675" s="227"/>
      <c r="D675" s="226"/>
      <c r="E675" s="235"/>
      <c r="F675" s="90"/>
    </row>
    <row r="676" ht="22.5" customHeight="1">
      <c r="A676" s="233"/>
      <c r="B676" s="234"/>
      <c r="C676" s="227"/>
      <c r="D676" s="226"/>
      <c r="E676" s="235"/>
      <c r="F676" s="90"/>
    </row>
    <row r="677" ht="22.5" customHeight="1">
      <c r="A677" s="233"/>
      <c r="B677" s="234"/>
      <c r="C677" s="227"/>
      <c r="D677" s="226"/>
      <c r="E677" s="235"/>
      <c r="F677" s="90"/>
    </row>
    <row r="678" ht="22.5" customHeight="1">
      <c r="A678" s="233"/>
      <c r="B678" s="234"/>
      <c r="C678" s="227"/>
      <c r="D678" s="226"/>
      <c r="E678" s="235"/>
      <c r="F678" s="90"/>
    </row>
    <row r="679" ht="22.5" customHeight="1">
      <c r="A679" s="233"/>
      <c r="B679" s="234"/>
      <c r="C679" s="227"/>
      <c r="D679" s="226"/>
      <c r="E679" s="235"/>
      <c r="F679" s="90"/>
    </row>
    <row r="680" ht="22.5" customHeight="1">
      <c r="A680" s="233"/>
      <c r="B680" s="234"/>
      <c r="C680" s="227"/>
      <c r="D680" s="226"/>
      <c r="E680" s="235"/>
      <c r="F680" s="90"/>
    </row>
    <row r="681" ht="22.5" customHeight="1">
      <c r="A681" s="233"/>
      <c r="B681" s="234"/>
      <c r="C681" s="227"/>
      <c r="D681" s="226"/>
      <c r="E681" s="235"/>
      <c r="F681" s="90"/>
    </row>
    <row r="682" ht="22.5" customHeight="1">
      <c r="A682" s="233"/>
      <c r="B682" s="234"/>
      <c r="C682" s="227"/>
      <c r="D682" s="226"/>
      <c r="E682" s="235"/>
      <c r="F682" s="90"/>
    </row>
    <row r="683" ht="22.5" customHeight="1">
      <c r="A683" s="233"/>
      <c r="B683" s="234"/>
      <c r="C683" s="227"/>
      <c r="D683" s="226"/>
      <c r="E683" s="235"/>
      <c r="F683" s="90"/>
    </row>
    <row r="684" ht="22.5" customHeight="1">
      <c r="A684" s="233"/>
      <c r="B684" s="234"/>
      <c r="C684" s="227"/>
      <c r="D684" s="226"/>
      <c r="E684" s="235"/>
      <c r="F684" s="90"/>
    </row>
    <row r="685" ht="22.5" customHeight="1">
      <c r="A685" s="233"/>
      <c r="B685" s="234"/>
      <c r="C685" s="227"/>
      <c r="D685" s="226"/>
      <c r="E685" s="235"/>
      <c r="F685" s="90"/>
    </row>
    <row r="686" ht="22.5" customHeight="1">
      <c r="A686" s="233"/>
      <c r="B686" s="234"/>
      <c r="C686" s="227"/>
      <c r="D686" s="226"/>
      <c r="E686" s="235"/>
      <c r="F686" s="90"/>
    </row>
    <row r="687" ht="22.5" customHeight="1">
      <c r="A687" s="233"/>
      <c r="B687" s="234"/>
      <c r="C687" s="227"/>
      <c r="D687" s="226"/>
      <c r="E687" s="235"/>
      <c r="F687" s="90"/>
    </row>
    <row r="688" ht="22.5" customHeight="1">
      <c r="A688" s="233"/>
      <c r="B688" s="234"/>
      <c r="C688" s="227"/>
      <c r="D688" s="226"/>
      <c r="E688" s="235"/>
      <c r="F688" s="90"/>
    </row>
    <row r="689" ht="22.5" customHeight="1">
      <c r="A689" s="233"/>
      <c r="B689" s="234"/>
      <c r="C689" s="227"/>
      <c r="D689" s="226"/>
      <c r="E689" s="235"/>
      <c r="F689" s="90"/>
    </row>
    <row r="690" ht="22.5" customHeight="1">
      <c r="A690" s="233"/>
      <c r="B690" s="234"/>
      <c r="C690" s="227"/>
      <c r="D690" s="226"/>
      <c r="E690" s="235"/>
      <c r="F690" s="90"/>
    </row>
    <row r="691" ht="22.5" customHeight="1">
      <c r="A691" s="233"/>
      <c r="B691" s="234"/>
      <c r="C691" s="227"/>
      <c r="D691" s="226"/>
      <c r="E691" s="235"/>
      <c r="F691" s="90"/>
    </row>
    <row r="692" ht="22.5" customHeight="1">
      <c r="A692" s="233"/>
      <c r="B692" s="234"/>
      <c r="C692" s="227"/>
      <c r="D692" s="226"/>
      <c r="E692" s="235"/>
      <c r="F692" s="90"/>
    </row>
    <row r="693" ht="22.5" customHeight="1">
      <c r="A693" s="233"/>
      <c r="B693" s="234"/>
      <c r="C693" s="227"/>
      <c r="D693" s="226"/>
      <c r="E693" s="235"/>
      <c r="F693" s="90"/>
    </row>
    <row r="694" ht="22.5" customHeight="1">
      <c r="A694" s="233"/>
      <c r="B694" s="234"/>
      <c r="C694" s="227"/>
      <c r="D694" s="226"/>
      <c r="E694" s="235"/>
      <c r="F694" s="90"/>
    </row>
    <row r="695" ht="22.5" customHeight="1">
      <c r="A695" s="233"/>
      <c r="B695" s="234"/>
      <c r="C695" s="227"/>
      <c r="D695" s="226"/>
      <c r="E695" s="235"/>
      <c r="F695" s="90"/>
    </row>
    <row r="696" ht="22.5" customHeight="1">
      <c r="A696" s="233"/>
      <c r="B696" s="234"/>
      <c r="C696" s="227"/>
      <c r="D696" s="226"/>
      <c r="E696" s="235"/>
      <c r="F696" s="90"/>
    </row>
    <row r="697" ht="22.5" customHeight="1">
      <c r="A697" s="233"/>
      <c r="B697" s="234"/>
      <c r="C697" s="227"/>
      <c r="D697" s="226"/>
      <c r="E697" s="235"/>
      <c r="F697" s="90"/>
    </row>
    <row r="698" ht="22.5" customHeight="1">
      <c r="A698" s="233"/>
      <c r="B698" s="234"/>
      <c r="C698" s="227"/>
      <c r="D698" s="226"/>
      <c r="E698" s="235"/>
      <c r="F698" s="90"/>
    </row>
    <row r="699" ht="22.5" customHeight="1">
      <c r="A699" s="233"/>
      <c r="B699" s="234"/>
      <c r="C699" s="227"/>
      <c r="D699" s="226"/>
      <c r="E699" s="235"/>
      <c r="F699" s="90"/>
    </row>
    <row r="700" ht="22.5" customHeight="1">
      <c r="A700" s="233"/>
      <c r="B700" s="234"/>
      <c r="C700" s="227"/>
      <c r="D700" s="226"/>
      <c r="E700" s="235"/>
      <c r="F700" s="90"/>
    </row>
    <row r="701" ht="22.5" customHeight="1">
      <c r="A701" s="233"/>
      <c r="B701" s="234"/>
      <c r="C701" s="227"/>
      <c r="D701" s="226"/>
      <c r="E701" s="235"/>
      <c r="F701" s="90"/>
    </row>
    <row r="702" ht="22.5" customHeight="1">
      <c r="A702" s="233"/>
      <c r="B702" s="234"/>
      <c r="C702" s="227"/>
      <c r="D702" s="226"/>
      <c r="E702" s="235"/>
      <c r="F702" s="90"/>
    </row>
    <row r="703" ht="22.5" customHeight="1">
      <c r="A703" s="233"/>
      <c r="B703" s="234"/>
      <c r="C703" s="227"/>
      <c r="D703" s="226"/>
      <c r="E703" s="235"/>
      <c r="F703" s="90"/>
    </row>
    <row r="704" ht="22.5" customHeight="1">
      <c r="A704" s="233"/>
      <c r="B704" s="234"/>
      <c r="C704" s="227"/>
      <c r="D704" s="226"/>
      <c r="E704" s="235"/>
      <c r="F704" s="90"/>
    </row>
    <row r="705" ht="22.5" customHeight="1">
      <c r="A705" s="233"/>
      <c r="B705" s="234"/>
      <c r="C705" s="227"/>
      <c r="D705" s="226"/>
      <c r="E705" s="235"/>
      <c r="F705" s="90"/>
    </row>
    <row r="706" ht="22.5" customHeight="1">
      <c r="A706" s="233"/>
      <c r="B706" s="234"/>
      <c r="C706" s="227"/>
      <c r="D706" s="226"/>
      <c r="E706" s="235"/>
      <c r="F706" s="90"/>
    </row>
    <row r="707" ht="22.5" customHeight="1">
      <c r="A707" s="233"/>
      <c r="B707" s="234"/>
      <c r="C707" s="227"/>
      <c r="D707" s="226"/>
      <c r="E707" s="235"/>
      <c r="F707" s="90"/>
    </row>
    <row r="708" ht="22.5" customHeight="1">
      <c r="A708" s="233"/>
      <c r="B708" s="234"/>
      <c r="C708" s="227"/>
      <c r="D708" s="226"/>
      <c r="E708" s="235"/>
      <c r="F708" s="90"/>
    </row>
    <row r="709" ht="22.5" customHeight="1">
      <c r="A709" s="233"/>
      <c r="B709" s="234"/>
      <c r="C709" s="227"/>
      <c r="D709" s="226"/>
      <c r="E709" s="235"/>
      <c r="F709" s="90"/>
    </row>
    <row r="710" ht="22.5" customHeight="1">
      <c r="A710" s="233"/>
      <c r="B710" s="234"/>
      <c r="C710" s="227"/>
      <c r="D710" s="226"/>
      <c r="E710" s="235"/>
      <c r="F710" s="90"/>
    </row>
    <row r="711" ht="22.5" customHeight="1">
      <c r="A711" s="233"/>
      <c r="B711" s="234"/>
      <c r="C711" s="227"/>
      <c r="D711" s="226"/>
      <c r="E711" s="235"/>
      <c r="F711" s="90"/>
    </row>
    <row r="712" ht="22.5" customHeight="1">
      <c r="A712" s="233"/>
      <c r="B712" s="234"/>
      <c r="C712" s="227"/>
      <c r="D712" s="226"/>
      <c r="E712" s="235"/>
      <c r="F712" s="90"/>
    </row>
    <row r="713" ht="22.5" customHeight="1">
      <c r="A713" s="233"/>
      <c r="B713" s="234"/>
      <c r="C713" s="227"/>
      <c r="D713" s="226"/>
      <c r="E713" s="235"/>
      <c r="F713" s="90"/>
    </row>
    <row r="714" ht="22.5" customHeight="1">
      <c r="A714" s="233"/>
      <c r="B714" s="234"/>
      <c r="C714" s="227"/>
      <c r="D714" s="226"/>
      <c r="E714" s="235"/>
      <c r="F714" s="90"/>
    </row>
    <row r="715" ht="22.5" customHeight="1">
      <c r="A715" s="233"/>
      <c r="B715" s="234"/>
      <c r="C715" s="227"/>
      <c r="D715" s="226"/>
      <c r="E715" s="235"/>
      <c r="F715" s="90"/>
    </row>
    <row r="716" ht="22.5" customHeight="1">
      <c r="A716" s="233"/>
      <c r="B716" s="234"/>
      <c r="C716" s="227"/>
      <c r="D716" s="226"/>
      <c r="E716" s="235"/>
      <c r="F716" s="90"/>
    </row>
    <row r="717" ht="22.5" customHeight="1">
      <c r="A717" s="233"/>
      <c r="B717" s="234"/>
      <c r="C717" s="227"/>
      <c r="D717" s="226"/>
      <c r="E717" s="235"/>
      <c r="F717" s="90"/>
    </row>
    <row r="718" ht="22.5" customHeight="1">
      <c r="A718" s="233"/>
      <c r="B718" s="234"/>
      <c r="C718" s="227"/>
      <c r="D718" s="226"/>
      <c r="E718" s="235"/>
      <c r="F718" s="90"/>
    </row>
    <row r="719" ht="22.5" customHeight="1">
      <c r="A719" s="233"/>
      <c r="B719" s="234"/>
      <c r="C719" s="227"/>
      <c r="D719" s="226"/>
      <c r="E719" s="235"/>
      <c r="F719" s="90"/>
    </row>
    <row r="720" ht="22.5" customHeight="1">
      <c r="A720" s="233"/>
      <c r="B720" s="234"/>
      <c r="C720" s="227"/>
      <c r="D720" s="226"/>
      <c r="E720" s="235"/>
      <c r="F720" s="90"/>
    </row>
    <row r="721" ht="22.5" customHeight="1">
      <c r="A721" s="233"/>
      <c r="B721" s="234"/>
      <c r="C721" s="227"/>
      <c r="D721" s="226"/>
      <c r="E721" s="235"/>
      <c r="F721" s="90"/>
    </row>
    <row r="722" ht="22.5" customHeight="1">
      <c r="A722" s="233"/>
      <c r="B722" s="234"/>
      <c r="C722" s="227"/>
      <c r="D722" s="226"/>
      <c r="E722" s="235"/>
      <c r="F722" s="90"/>
    </row>
    <row r="723" ht="22.5" customHeight="1">
      <c r="A723" s="233"/>
      <c r="B723" s="234"/>
      <c r="C723" s="227"/>
      <c r="D723" s="226"/>
      <c r="E723" s="235"/>
      <c r="F723" s="90"/>
    </row>
    <row r="724" ht="22.5" customHeight="1">
      <c r="A724" s="233"/>
      <c r="B724" s="234"/>
      <c r="C724" s="227"/>
      <c r="D724" s="226"/>
      <c r="E724" s="235"/>
      <c r="F724" s="90"/>
    </row>
    <row r="725" ht="22.5" customHeight="1">
      <c r="A725" s="233"/>
      <c r="B725" s="234"/>
      <c r="C725" s="227"/>
      <c r="D725" s="226"/>
      <c r="E725" s="235"/>
      <c r="F725" s="90"/>
    </row>
    <row r="726" ht="22.5" customHeight="1">
      <c r="A726" s="233"/>
      <c r="B726" s="234"/>
      <c r="C726" s="227"/>
      <c r="D726" s="226"/>
      <c r="E726" s="235"/>
      <c r="F726" s="90"/>
    </row>
    <row r="727" ht="22.5" customHeight="1">
      <c r="A727" s="233"/>
      <c r="B727" s="234"/>
      <c r="C727" s="227"/>
      <c r="D727" s="226"/>
      <c r="E727" s="235"/>
      <c r="F727" s="90"/>
    </row>
    <row r="728" ht="22.5" customHeight="1">
      <c r="A728" s="233"/>
      <c r="B728" s="234"/>
      <c r="C728" s="227"/>
      <c r="D728" s="226"/>
      <c r="E728" s="235"/>
      <c r="F728" s="90"/>
    </row>
    <row r="729" ht="22.5" customHeight="1">
      <c r="A729" s="233"/>
      <c r="B729" s="234"/>
      <c r="C729" s="227"/>
      <c r="D729" s="226"/>
      <c r="E729" s="235"/>
      <c r="F729" s="90"/>
    </row>
    <row r="730" ht="22.5" customHeight="1">
      <c r="A730" s="233"/>
      <c r="B730" s="234"/>
      <c r="C730" s="227"/>
      <c r="D730" s="226"/>
      <c r="E730" s="235"/>
      <c r="F730" s="90"/>
    </row>
    <row r="731" ht="22.5" customHeight="1">
      <c r="A731" s="233"/>
      <c r="B731" s="234"/>
      <c r="C731" s="227"/>
      <c r="D731" s="226"/>
      <c r="E731" s="235"/>
      <c r="F731" s="90"/>
    </row>
    <row r="732" ht="22.5" customHeight="1">
      <c r="A732" s="233"/>
      <c r="B732" s="234"/>
      <c r="C732" s="227"/>
      <c r="D732" s="226"/>
      <c r="E732" s="235"/>
      <c r="F732" s="90"/>
    </row>
    <row r="733" ht="22.5" customHeight="1">
      <c r="A733" s="233"/>
      <c r="B733" s="234"/>
      <c r="C733" s="227"/>
      <c r="D733" s="226"/>
      <c r="E733" s="235"/>
      <c r="F733" s="90"/>
    </row>
    <row r="734" ht="22.5" customHeight="1">
      <c r="A734" s="233"/>
      <c r="B734" s="234"/>
      <c r="C734" s="227"/>
      <c r="D734" s="226"/>
      <c r="E734" s="235"/>
      <c r="F734" s="90"/>
    </row>
    <row r="735" ht="22.5" customHeight="1">
      <c r="A735" s="233"/>
      <c r="B735" s="234"/>
      <c r="C735" s="227"/>
      <c r="D735" s="226"/>
      <c r="E735" s="235"/>
      <c r="F735" s="90"/>
    </row>
    <row r="736" ht="22.5" customHeight="1">
      <c r="A736" s="233"/>
      <c r="B736" s="234"/>
      <c r="C736" s="227"/>
      <c r="D736" s="226"/>
      <c r="E736" s="235"/>
      <c r="F736" s="90"/>
    </row>
    <row r="737" ht="22.5" customHeight="1">
      <c r="A737" s="233"/>
      <c r="B737" s="234"/>
      <c r="C737" s="227"/>
      <c r="D737" s="226"/>
      <c r="E737" s="235"/>
      <c r="F737" s="90"/>
    </row>
    <row r="738" ht="22.5" customHeight="1">
      <c r="A738" s="233"/>
      <c r="B738" s="234"/>
      <c r="C738" s="227"/>
      <c r="D738" s="226"/>
      <c r="E738" s="235"/>
      <c r="F738" s="90"/>
    </row>
    <row r="739" ht="22.5" customHeight="1">
      <c r="A739" s="233"/>
      <c r="B739" s="234"/>
      <c r="C739" s="227"/>
      <c r="D739" s="226"/>
      <c r="E739" s="235"/>
      <c r="F739" s="90"/>
    </row>
    <row r="740" ht="22.5" customHeight="1">
      <c r="A740" s="233"/>
      <c r="B740" s="234"/>
      <c r="C740" s="227"/>
      <c r="D740" s="226"/>
      <c r="E740" s="235"/>
      <c r="F740" s="90"/>
    </row>
    <row r="741" ht="22.5" customHeight="1">
      <c r="A741" s="233"/>
      <c r="B741" s="234"/>
      <c r="C741" s="227"/>
      <c r="D741" s="226"/>
      <c r="E741" s="235"/>
      <c r="F741" s="90"/>
    </row>
    <row r="742" ht="22.5" customHeight="1">
      <c r="A742" s="233"/>
      <c r="B742" s="234"/>
      <c r="C742" s="227"/>
      <c r="D742" s="226"/>
      <c r="E742" s="235"/>
      <c r="F742" s="90"/>
    </row>
    <row r="743" ht="22.5" customHeight="1">
      <c r="A743" s="233"/>
      <c r="B743" s="234"/>
      <c r="C743" s="227"/>
      <c r="D743" s="226"/>
      <c r="E743" s="235"/>
      <c r="F743" s="90"/>
    </row>
    <row r="744" ht="22.5" customHeight="1">
      <c r="A744" s="233"/>
      <c r="B744" s="234"/>
      <c r="C744" s="227"/>
      <c r="D744" s="226"/>
      <c r="E744" s="235"/>
      <c r="F744" s="90"/>
    </row>
    <row r="745" ht="22.5" customHeight="1">
      <c r="A745" s="233"/>
      <c r="B745" s="234"/>
      <c r="C745" s="227"/>
      <c r="D745" s="226"/>
      <c r="E745" s="235"/>
      <c r="F745" s="90"/>
    </row>
    <row r="746" ht="22.5" customHeight="1">
      <c r="A746" s="233"/>
      <c r="B746" s="234"/>
      <c r="C746" s="227"/>
      <c r="D746" s="226"/>
      <c r="E746" s="235"/>
      <c r="F746" s="90"/>
    </row>
    <row r="747" ht="22.5" customHeight="1">
      <c r="A747" s="233"/>
      <c r="B747" s="234"/>
      <c r="C747" s="227"/>
      <c r="D747" s="226"/>
      <c r="E747" s="235"/>
      <c r="F747" s="90"/>
    </row>
    <row r="748" ht="22.5" customHeight="1">
      <c r="A748" s="233"/>
      <c r="B748" s="234"/>
      <c r="C748" s="227"/>
      <c r="D748" s="226"/>
      <c r="E748" s="235"/>
      <c r="F748" s="90"/>
    </row>
    <row r="749" ht="22.5" customHeight="1">
      <c r="A749" s="233"/>
      <c r="B749" s="234"/>
      <c r="C749" s="227"/>
      <c r="D749" s="226"/>
      <c r="E749" s="235"/>
      <c r="F749" s="90"/>
    </row>
    <row r="750" ht="22.5" customHeight="1">
      <c r="A750" s="233"/>
      <c r="B750" s="234"/>
      <c r="C750" s="227"/>
      <c r="D750" s="226"/>
      <c r="E750" s="235"/>
      <c r="F750" s="90"/>
    </row>
    <row r="751" ht="22.5" customHeight="1">
      <c r="A751" s="233"/>
      <c r="B751" s="234"/>
      <c r="C751" s="227"/>
      <c r="D751" s="226"/>
      <c r="E751" s="235"/>
      <c r="F751" s="90"/>
    </row>
    <row r="752" ht="22.5" customHeight="1">
      <c r="A752" s="233"/>
      <c r="B752" s="234"/>
      <c r="C752" s="227"/>
      <c r="D752" s="226"/>
      <c r="E752" s="235"/>
      <c r="F752" s="90"/>
    </row>
    <row r="753" ht="22.5" customHeight="1">
      <c r="A753" s="233"/>
      <c r="B753" s="234"/>
      <c r="C753" s="227"/>
      <c r="D753" s="226"/>
      <c r="E753" s="235"/>
      <c r="F753" s="90"/>
    </row>
    <row r="754" ht="22.5" customHeight="1">
      <c r="A754" s="233"/>
      <c r="B754" s="234"/>
      <c r="C754" s="227"/>
      <c r="D754" s="226"/>
      <c r="E754" s="235"/>
      <c r="F754" s="90"/>
    </row>
    <row r="755" ht="22.5" customHeight="1">
      <c r="A755" s="233"/>
      <c r="B755" s="234"/>
      <c r="C755" s="227"/>
      <c r="D755" s="226"/>
      <c r="E755" s="235"/>
      <c r="F755" s="90"/>
    </row>
    <row r="756" ht="22.5" customHeight="1">
      <c r="A756" s="233"/>
      <c r="B756" s="234"/>
      <c r="C756" s="227"/>
      <c r="D756" s="226"/>
      <c r="E756" s="235"/>
      <c r="F756" s="90"/>
    </row>
    <row r="757" ht="22.5" customHeight="1">
      <c r="A757" s="233"/>
      <c r="B757" s="234"/>
      <c r="C757" s="227"/>
      <c r="D757" s="226"/>
      <c r="E757" s="235"/>
      <c r="F757" s="90"/>
    </row>
    <row r="758" ht="22.5" customHeight="1">
      <c r="A758" s="233"/>
      <c r="B758" s="234"/>
      <c r="C758" s="227"/>
      <c r="D758" s="226"/>
      <c r="E758" s="235"/>
      <c r="F758" s="90"/>
    </row>
    <row r="759" ht="22.5" customHeight="1">
      <c r="A759" s="233"/>
      <c r="B759" s="234"/>
      <c r="C759" s="227"/>
      <c r="D759" s="226"/>
      <c r="E759" s="235"/>
      <c r="F759" s="90"/>
    </row>
    <row r="760" ht="22.5" customHeight="1">
      <c r="A760" s="233"/>
      <c r="B760" s="234"/>
      <c r="C760" s="227"/>
      <c r="D760" s="226"/>
      <c r="E760" s="235"/>
      <c r="F760" s="90"/>
    </row>
    <row r="761" ht="22.5" customHeight="1">
      <c r="A761" s="233"/>
      <c r="B761" s="234"/>
      <c r="C761" s="227"/>
      <c r="D761" s="226"/>
      <c r="E761" s="235"/>
      <c r="F761" s="90"/>
    </row>
    <row r="762" ht="22.5" customHeight="1">
      <c r="A762" s="233"/>
      <c r="B762" s="234"/>
      <c r="C762" s="227"/>
      <c r="D762" s="226"/>
      <c r="E762" s="235"/>
      <c r="F762" s="90"/>
    </row>
    <row r="763" ht="22.5" customHeight="1">
      <c r="A763" s="233"/>
      <c r="B763" s="234"/>
      <c r="C763" s="227"/>
      <c r="D763" s="226"/>
      <c r="E763" s="235"/>
      <c r="F763" s="90"/>
    </row>
    <row r="764" ht="22.5" customHeight="1">
      <c r="A764" s="233"/>
      <c r="B764" s="234"/>
      <c r="C764" s="227"/>
      <c r="D764" s="226"/>
      <c r="E764" s="235"/>
      <c r="F764" s="90"/>
    </row>
    <row r="765" ht="22.5" customHeight="1">
      <c r="A765" s="233"/>
      <c r="B765" s="234"/>
      <c r="C765" s="227"/>
      <c r="D765" s="226"/>
      <c r="E765" s="235"/>
      <c r="F765" s="90"/>
    </row>
    <row r="766" ht="22.5" customHeight="1">
      <c r="A766" s="233"/>
      <c r="B766" s="234"/>
      <c r="C766" s="227"/>
      <c r="D766" s="226"/>
      <c r="E766" s="235"/>
      <c r="F766" s="90"/>
    </row>
    <row r="767" ht="22.5" customHeight="1">
      <c r="A767" s="233"/>
      <c r="B767" s="234"/>
      <c r="C767" s="227"/>
      <c r="D767" s="226"/>
      <c r="E767" s="235"/>
      <c r="F767" s="90"/>
    </row>
    <row r="768" ht="22.5" customHeight="1">
      <c r="A768" s="233"/>
      <c r="B768" s="234"/>
      <c r="C768" s="227"/>
      <c r="D768" s="226"/>
      <c r="E768" s="235"/>
      <c r="F768" s="90"/>
    </row>
    <row r="769" ht="22.5" customHeight="1">
      <c r="A769" s="233"/>
      <c r="B769" s="234"/>
      <c r="C769" s="227"/>
      <c r="D769" s="226"/>
      <c r="E769" s="235"/>
      <c r="F769" s="90"/>
    </row>
    <row r="770" ht="22.5" customHeight="1">
      <c r="A770" s="233"/>
      <c r="B770" s="234"/>
      <c r="C770" s="227"/>
      <c r="D770" s="226"/>
      <c r="E770" s="235"/>
      <c r="F770" s="90"/>
    </row>
    <row r="771" ht="22.5" customHeight="1">
      <c r="A771" s="233"/>
      <c r="B771" s="234"/>
      <c r="C771" s="227"/>
      <c r="D771" s="226"/>
      <c r="E771" s="235"/>
      <c r="F771" s="90"/>
    </row>
    <row r="772" ht="22.5" customHeight="1">
      <c r="A772" s="233"/>
      <c r="B772" s="234"/>
      <c r="C772" s="227"/>
      <c r="D772" s="226"/>
      <c r="E772" s="235"/>
      <c r="F772" s="90"/>
    </row>
    <row r="773" ht="22.5" customHeight="1">
      <c r="A773" s="233"/>
      <c r="B773" s="234"/>
      <c r="C773" s="227"/>
      <c r="D773" s="226"/>
      <c r="E773" s="235"/>
      <c r="F773" s="90"/>
    </row>
    <row r="774" ht="22.5" customHeight="1">
      <c r="A774" s="233"/>
      <c r="B774" s="234"/>
      <c r="C774" s="227"/>
      <c r="D774" s="226"/>
      <c r="E774" s="235"/>
      <c r="F774" s="90"/>
    </row>
    <row r="775" ht="22.5" customHeight="1">
      <c r="A775" s="233"/>
      <c r="B775" s="234"/>
      <c r="C775" s="227"/>
      <c r="D775" s="226"/>
      <c r="E775" s="235"/>
      <c r="F775" s="90"/>
    </row>
    <row r="776" ht="22.5" customHeight="1">
      <c r="A776" s="233"/>
      <c r="B776" s="234"/>
      <c r="C776" s="227"/>
      <c r="D776" s="226"/>
      <c r="E776" s="235"/>
      <c r="F776" s="90"/>
    </row>
    <row r="777" ht="22.5" customHeight="1">
      <c r="A777" s="233"/>
      <c r="B777" s="234"/>
      <c r="C777" s="227"/>
      <c r="D777" s="226"/>
      <c r="E777" s="235"/>
      <c r="F777" s="90"/>
    </row>
    <row r="778" ht="22.5" customHeight="1">
      <c r="A778" s="233"/>
      <c r="B778" s="234"/>
      <c r="C778" s="227"/>
      <c r="D778" s="226"/>
      <c r="E778" s="235"/>
      <c r="F778" s="90"/>
    </row>
    <row r="779" ht="22.5" customHeight="1">
      <c r="A779" s="233"/>
      <c r="B779" s="234"/>
      <c r="C779" s="227"/>
      <c r="D779" s="226"/>
      <c r="E779" s="235"/>
      <c r="F779" s="90"/>
    </row>
    <row r="780" ht="22.5" customHeight="1">
      <c r="A780" s="233"/>
      <c r="B780" s="234"/>
      <c r="C780" s="227"/>
      <c r="D780" s="226"/>
      <c r="E780" s="235"/>
      <c r="F780" s="90"/>
    </row>
    <row r="781" ht="22.5" customHeight="1">
      <c r="A781" s="233"/>
      <c r="B781" s="234"/>
      <c r="C781" s="227"/>
      <c r="D781" s="226"/>
      <c r="E781" s="235"/>
      <c r="F781" s="90"/>
    </row>
    <row r="782" ht="22.5" customHeight="1">
      <c r="A782" s="233"/>
      <c r="B782" s="234"/>
      <c r="C782" s="227"/>
      <c r="D782" s="226"/>
      <c r="E782" s="235"/>
      <c r="F782" s="90"/>
    </row>
    <row r="783" ht="22.5" customHeight="1">
      <c r="A783" s="233"/>
      <c r="B783" s="234"/>
      <c r="C783" s="227"/>
      <c r="D783" s="226"/>
      <c r="E783" s="235"/>
      <c r="F783" s="90"/>
    </row>
    <row r="784" ht="22.5" customHeight="1">
      <c r="A784" s="233"/>
      <c r="B784" s="234"/>
      <c r="C784" s="227"/>
      <c r="D784" s="226"/>
      <c r="E784" s="235"/>
      <c r="F784" s="90"/>
    </row>
    <row r="785" ht="22.5" customHeight="1">
      <c r="A785" s="233"/>
      <c r="B785" s="234"/>
      <c r="C785" s="227"/>
      <c r="D785" s="226"/>
      <c r="E785" s="235"/>
      <c r="F785" s="90"/>
    </row>
    <row r="786" ht="22.5" customHeight="1">
      <c r="A786" s="233"/>
      <c r="B786" s="234"/>
      <c r="C786" s="227"/>
      <c r="D786" s="226"/>
      <c r="E786" s="235"/>
      <c r="F786" s="90"/>
    </row>
    <row r="787" ht="22.5" customHeight="1">
      <c r="A787" s="233"/>
      <c r="B787" s="234"/>
      <c r="C787" s="227"/>
      <c r="D787" s="226"/>
      <c r="E787" s="235"/>
      <c r="F787" s="90"/>
    </row>
    <row r="788" ht="22.5" customHeight="1">
      <c r="A788" s="233"/>
      <c r="B788" s="234"/>
      <c r="C788" s="227"/>
      <c r="D788" s="226"/>
      <c r="E788" s="235"/>
      <c r="F788" s="90"/>
    </row>
    <row r="789" ht="22.5" customHeight="1">
      <c r="A789" s="233"/>
      <c r="B789" s="234"/>
      <c r="C789" s="227"/>
      <c r="D789" s="226"/>
      <c r="E789" s="235"/>
      <c r="F789" s="90"/>
    </row>
    <row r="790" ht="22.5" customHeight="1">
      <c r="A790" s="233"/>
      <c r="B790" s="234"/>
      <c r="C790" s="227"/>
      <c r="D790" s="226"/>
      <c r="E790" s="235"/>
      <c r="F790" s="90"/>
    </row>
    <row r="791" ht="22.5" customHeight="1">
      <c r="A791" s="233"/>
      <c r="B791" s="234"/>
      <c r="C791" s="227"/>
      <c r="D791" s="226"/>
      <c r="E791" s="235"/>
      <c r="F791" s="90"/>
    </row>
    <row r="792" ht="22.5" customHeight="1">
      <c r="A792" s="233"/>
      <c r="B792" s="234"/>
      <c r="C792" s="227"/>
      <c r="D792" s="226"/>
      <c r="E792" s="235"/>
      <c r="F792" s="90"/>
    </row>
    <row r="793" ht="22.5" customHeight="1">
      <c r="A793" s="233"/>
      <c r="B793" s="234"/>
      <c r="C793" s="227"/>
      <c r="D793" s="226"/>
      <c r="E793" s="235"/>
      <c r="F793" s="90"/>
    </row>
    <row r="794" ht="22.5" customHeight="1">
      <c r="A794" s="233"/>
      <c r="B794" s="234"/>
      <c r="C794" s="227"/>
      <c r="D794" s="226"/>
      <c r="E794" s="235"/>
      <c r="F794" s="90"/>
    </row>
    <row r="795" ht="22.5" customHeight="1">
      <c r="A795" s="233"/>
      <c r="B795" s="234"/>
      <c r="C795" s="227"/>
      <c r="D795" s="226"/>
      <c r="E795" s="235"/>
      <c r="F795" s="90"/>
    </row>
    <row r="796" ht="22.5" customHeight="1">
      <c r="A796" s="233"/>
      <c r="B796" s="234"/>
      <c r="C796" s="227"/>
      <c r="D796" s="226"/>
      <c r="E796" s="235"/>
      <c r="F796" s="90"/>
    </row>
    <row r="797" ht="22.5" customHeight="1">
      <c r="A797" s="233"/>
      <c r="B797" s="234"/>
      <c r="C797" s="227"/>
      <c r="D797" s="226"/>
      <c r="E797" s="235"/>
      <c r="F797" s="90"/>
    </row>
    <row r="798" ht="22.5" customHeight="1">
      <c r="A798" s="233"/>
      <c r="B798" s="234"/>
      <c r="C798" s="227"/>
      <c r="D798" s="226"/>
      <c r="E798" s="235"/>
      <c r="F798" s="90"/>
    </row>
    <row r="799" ht="22.5" customHeight="1">
      <c r="A799" s="233"/>
      <c r="B799" s="234"/>
      <c r="C799" s="227"/>
      <c r="D799" s="226"/>
      <c r="E799" s="235"/>
      <c r="F799" s="90"/>
    </row>
    <row r="800" ht="22.5" customHeight="1">
      <c r="A800" s="233"/>
      <c r="B800" s="234"/>
      <c r="C800" s="227"/>
      <c r="D800" s="226"/>
      <c r="E800" s="235"/>
      <c r="F800" s="90"/>
    </row>
    <row r="801" ht="22.5" customHeight="1">
      <c r="A801" s="233"/>
      <c r="B801" s="234"/>
      <c r="C801" s="227"/>
      <c r="D801" s="226"/>
      <c r="E801" s="235"/>
      <c r="F801" s="90"/>
    </row>
    <row r="802" ht="22.5" customHeight="1">
      <c r="A802" s="233"/>
      <c r="B802" s="234"/>
      <c r="C802" s="227"/>
      <c r="D802" s="226"/>
      <c r="E802" s="235"/>
      <c r="F802" s="90"/>
    </row>
    <row r="803" ht="22.5" customHeight="1">
      <c r="A803" s="233"/>
      <c r="B803" s="234"/>
      <c r="C803" s="227"/>
      <c r="D803" s="226"/>
      <c r="E803" s="235"/>
      <c r="F803" s="90"/>
    </row>
    <row r="804" ht="22.5" customHeight="1">
      <c r="A804" s="233"/>
      <c r="B804" s="234"/>
      <c r="C804" s="227"/>
      <c r="D804" s="226"/>
      <c r="E804" s="235"/>
      <c r="F804" s="90"/>
    </row>
    <row r="805" ht="22.5" customHeight="1">
      <c r="A805" s="233"/>
      <c r="B805" s="234"/>
      <c r="C805" s="227"/>
      <c r="D805" s="226"/>
      <c r="E805" s="235"/>
      <c r="F805" s="90"/>
    </row>
    <row r="806" ht="22.5" customHeight="1">
      <c r="A806" s="233"/>
      <c r="B806" s="234"/>
      <c r="C806" s="227"/>
      <c r="D806" s="226"/>
      <c r="E806" s="235"/>
      <c r="F806" s="90"/>
    </row>
    <row r="807" ht="22.5" customHeight="1">
      <c r="A807" s="233"/>
      <c r="B807" s="234"/>
      <c r="C807" s="227"/>
      <c r="D807" s="226"/>
      <c r="E807" s="235"/>
      <c r="F807" s="90"/>
    </row>
    <row r="808" ht="22.5" customHeight="1">
      <c r="A808" s="233"/>
      <c r="B808" s="234"/>
      <c r="C808" s="227"/>
      <c r="D808" s="226"/>
      <c r="E808" s="235"/>
      <c r="F808" s="90"/>
    </row>
    <row r="809" ht="22.5" customHeight="1">
      <c r="A809" s="233"/>
      <c r="B809" s="234"/>
      <c r="C809" s="227"/>
      <c r="D809" s="226"/>
      <c r="E809" s="235"/>
      <c r="F809" s="90"/>
    </row>
    <row r="810" ht="22.5" customHeight="1">
      <c r="A810" s="233"/>
      <c r="B810" s="234"/>
      <c r="C810" s="227"/>
      <c r="D810" s="226"/>
      <c r="E810" s="235"/>
      <c r="F810" s="90"/>
    </row>
    <row r="811" ht="22.5" customHeight="1">
      <c r="A811" s="233"/>
      <c r="B811" s="234"/>
      <c r="C811" s="227"/>
      <c r="D811" s="226"/>
      <c r="E811" s="235"/>
      <c r="F811" s="90"/>
    </row>
    <row r="812" ht="22.5" customHeight="1">
      <c r="A812" s="233"/>
      <c r="B812" s="234"/>
      <c r="C812" s="227"/>
      <c r="D812" s="226"/>
      <c r="E812" s="235"/>
      <c r="F812" s="90"/>
    </row>
    <row r="813" ht="22.5" customHeight="1">
      <c r="A813" s="233"/>
      <c r="B813" s="234"/>
      <c r="C813" s="227"/>
      <c r="D813" s="226"/>
      <c r="E813" s="235"/>
      <c r="F813" s="90"/>
    </row>
    <row r="814" ht="22.5" customHeight="1">
      <c r="A814" s="233"/>
      <c r="B814" s="234"/>
      <c r="C814" s="227"/>
      <c r="D814" s="226"/>
      <c r="E814" s="235"/>
      <c r="F814" s="90"/>
    </row>
    <row r="815" ht="22.5" customHeight="1">
      <c r="A815" s="233"/>
      <c r="B815" s="234"/>
      <c r="C815" s="227"/>
      <c r="D815" s="226"/>
      <c r="E815" s="235"/>
      <c r="F815" s="90"/>
    </row>
    <row r="816" ht="22.5" customHeight="1">
      <c r="A816" s="233"/>
      <c r="B816" s="234"/>
      <c r="C816" s="227"/>
      <c r="D816" s="226"/>
      <c r="E816" s="235"/>
      <c r="F816" s="90"/>
    </row>
    <row r="817" ht="22.5" customHeight="1">
      <c r="A817" s="233"/>
      <c r="B817" s="234"/>
      <c r="C817" s="227"/>
      <c r="D817" s="226"/>
      <c r="E817" s="235"/>
      <c r="F817" s="90"/>
    </row>
    <row r="818" ht="22.5" customHeight="1">
      <c r="A818" s="233"/>
      <c r="B818" s="234"/>
      <c r="C818" s="227"/>
      <c r="D818" s="226"/>
      <c r="E818" s="235"/>
      <c r="F818" s="90"/>
    </row>
    <row r="819" ht="22.5" customHeight="1">
      <c r="A819" s="233"/>
      <c r="B819" s="234"/>
      <c r="C819" s="227"/>
      <c r="D819" s="226"/>
      <c r="E819" s="235"/>
      <c r="F819" s="90"/>
    </row>
    <row r="820" ht="22.5" customHeight="1">
      <c r="A820" s="233"/>
      <c r="B820" s="234"/>
      <c r="C820" s="227"/>
      <c r="D820" s="226"/>
      <c r="E820" s="235"/>
      <c r="F820" s="90"/>
    </row>
    <row r="821" ht="22.5" customHeight="1">
      <c r="A821" s="233"/>
      <c r="B821" s="234"/>
      <c r="C821" s="227"/>
      <c r="D821" s="226"/>
      <c r="E821" s="235"/>
      <c r="F821" s="90"/>
    </row>
    <row r="822" ht="22.5" customHeight="1">
      <c r="A822" s="233"/>
      <c r="B822" s="234"/>
      <c r="C822" s="227"/>
      <c r="D822" s="226"/>
      <c r="E822" s="235"/>
      <c r="F822" s="90"/>
    </row>
    <row r="823" ht="22.5" customHeight="1">
      <c r="A823" s="233"/>
      <c r="B823" s="234"/>
      <c r="C823" s="227"/>
      <c r="D823" s="226"/>
      <c r="E823" s="235"/>
      <c r="F823" s="90"/>
    </row>
    <row r="824" ht="22.5" customHeight="1">
      <c r="A824" s="233"/>
      <c r="B824" s="234"/>
      <c r="C824" s="227"/>
      <c r="D824" s="226"/>
      <c r="E824" s="235"/>
      <c r="F824" s="90"/>
    </row>
    <row r="825" ht="22.5" customHeight="1">
      <c r="A825" s="233"/>
      <c r="B825" s="234"/>
      <c r="C825" s="227"/>
      <c r="D825" s="226"/>
      <c r="E825" s="235"/>
      <c r="F825" s="90"/>
    </row>
    <row r="826" ht="22.5" customHeight="1">
      <c r="A826" s="233"/>
      <c r="B826" s="234"/>
      <c r="C826" s="227"/>
      <c r="D826" s="226"/>
      <c r="E826" s="235"/>
      <c r="F826" s="90"/>
    </row>
    <row r="827" ht="22.5" customHeight="1">
      <c r="A827" s="233"/>
      <c r="B827" s="234"/>
      <c r="C827" s="227"/>
      <c r="D827" s="226"/>
      <c r="E827" s="235"/>
      <c r="F827" s="90"/>
    </row>
    <row r="828" ht="22.5" customHeight="1">
      <c r="A828" s="233"/>
      <c r="B828" s="234"/>
      <c r="C828" s="227"/>
      <c r="D828" s="226"/>
      <c r="E828" s="235"/>
      <c r="F828" s="90"/>
    </row>
    <row r="829" ht="22.5" customHeight="1">
      <c r="A829" s="233"/>
      <c r="B829" s="234"/>
      <c r="C829" s="227"/>
      <c r="D829" s="226"/>
      <c r="E829" s="235"/>
      <c r="F829" s="90"/>
    </row>
    <row r="830" ht="22.5" customHeight="1">
      <c r="A830" s="233"/>
      <c r="B830" s="234"/>
      <c r="C830" s="227"/>
      <c r="D830" s="226"/>
      <c r="E830" s="235"/>
      <c r="F830" s="90"/>
    </row>
    <row r="831" ht="22.5" customHeight="1">
      <c r="A831" s="233"/>
      <c r="B831" s="234"/>
      <c r="C831" s="227"/>
      <c r="D831" s="226"/>
      <c r="E831" s="235"/>
      <c r="F831" s="90"/>
    </row>
    <row r="832" ht="22.5" customHeight="1">
      <c r="A832" s="233"/>
      <c r="B832" s="234"/>
      <c r="C832" s="227"/>
      <c r="D832" s="226"/>
      <c r="E832" s="235"/>
      <c r="F832" s="90"/>
    </row>
    <row r="833" ht="22.5" customHeight="1">
      <c r="A833" s="233"/>
      <c r="B833" s="234"/>
      <c r="C833" s="227"/>
      <c r="D833" s="226"/>
      <c r="E833" s="235"/>
      <c r="F833" s="90"/>
    </row>
    <row r="834" ht="22.5" customHeight="1">
      <c r="A834" s="233"/>
      <c r="B834" s="234"/>
      <c r="C834" s="227"/>
      <c r="D834" s="226"/>
      <c r="E834" s="235"/>
      <c r="F834" s="90"/>
    </row>
    <row r="835" ht="22.5" customHeight="1">
      <c r="A835" s="233"/>
      <c r="B835" s="234"/>
      <c r="C835" s="227"/>
      <c r="D835" s="226"/>
      <c r="E835" s="235"/>
      <c r="F835" s="90"/>
    </row>
    <row r="836" ht="22.5" customHeight="1">
      <c r="A836" s="233"/>
      <c r="B836" s="234"/>
      <c r="C836" s="227"/>
      <c r="D836" s="226"/>
      <c r="E836" s="235"/>
      <c r="F836" s="90"/>
    </row>
    <row r="837" ht="22.5" customHeight="1">
      <c r="A837" s="233"/>
      <c r="B837" s="234"/>
      <c r="C837" s="227"/>
      <c r="D837" s="226"/>
      <c r="E837" s="235"/>
      <c r="F837" s="90"/>
    </row>
    <row r="838" ht="22.5" customHeight="1">
      <c r="A838" s="233"/>
      <c r="B838" s="234"/>
      <c r="C838" s="227"/>
      <c r="D838" s="226"/>
      <c r="E838" s="235"/>
      <c r="F838" s="90"/>
    </row>
    <row r="839" ht="22.5" customHeight="1">
      <c r="A839" s="233"/>
      <c r="B839" s="234"/>
      <c r="C839" s="227"/>
      <c r="D839" s="226"/>
      <c r="E839" s="235"/>
      <c r="F839" s="90"/>
    </row>
    <row r="840" ht="22.5" customHeight="1">
      <c r="A840" s="233"/>
      <c r="B840" s="234"/>
      <c r="C840" s="227"/>
      <c r="D840" s="226"/>
      <c r="E840" s="235"/>
      <c r="F840" s="90"/>
    </row>
    <row r="841" ht="22.5" customHeight="1">
      <c r="A841" s="233"/>
      <c r="B841" s="234"/>
      <c r="C841" s="227"/>
      <c r="D841" s="226"/>
      <c r="E841" s="235"/>
      <c r="F841" s="90"/>
    </row>
    <row r="842" ht="22.5" customHeight="1">
      <c r="A842" s="233"/>
      <c r="B842" s="234"/>
      <c r="C842" s="227"/>
      <c r="D842" s="226"/>
      <c r="E842" s="235"/>
      <c r="F842" s="90"/>
    </row>
    <row r="843" ht="22.5" customHeight="1">
      <c r="A843" s="233"/>
      <c r="B843" s="234"/>
      <c r="C843" s="227"/>
      <c r="D843" s="226"/>
      <c r="E843" s="235"/>
      <c r="F843" s="90"/>
    </row>
    <row r="844" ht="22.5" customHeight="1">
      <c r="A844" s="233"/>
      <c r="B844" s="234"/>
      <c r="C844" s="227"/>
      <c r="D844" s="226"/>
      <c r="E844" s="235"/>
      <c r="F844" s="90"/>
    </row>
    <row r="845" ht="22.5" customHeight="1">
      <c r="A845" s="233"/>
      <c r="B845" s="234"/>
      <c r="C845" s="227"/>
      <c r="D845" s="226"/>
      <c r="E845" s="235"/>
      <c r="F845" s="90"/>
    </row>
    <row r="846" ht="22.5" customHeight="1">
      <c r="A846" s="233"/>
      <c r="B846" s="234"/>
      <c r="C846" s="227"/>
      <c r="D846" s="226"/>
      <c r="E846" s="235"/>
      <c r="F846" s="90"/>
    </row>
    <row r="847" ht="22.5" customHeight="1">
      <c r="A847" s="233"/>
      <c r="B847" s="234"/>
      <c r="C847" s="227"/>
      <c r="D847" s="226"/>
      <c r="E847" s="235"/>
      <c r="F847" s="90"/>
    </row>
    <row r="848" ht="22.5" customHeight="1">
      <c r="A848" s="233"/>
      <c r="B848" s="234"/>
      <c r="C848" s="227"/>
      <c r="D848" s="226"/>
      <c r="E848" s="235"/>
      <c r="F848" s="90"/>
    </row>
    <row r="849" ht="22.5" customHeight="1">
      <c r="A849" s="233"/>
      <c r="B849" s="234"/>
      <c r="C849" s="227"/>
      <c r="D849" s="226"/>
      <c r="E849" s="235"/>
      <c r="F849" s="90"/>
    </row>
    <row r="850" ht="22.5" customHeight="1">
      <c r="A850" s="233"/>
      <c r="B850" s="234"/>
      <c r="C850" s="227"/>
      <c r="D850" s="226"/>
      <c r="E850" s="235"/>
      <c r="F850" s="90"/>
    </row>
    <row r="851" ht="22.5" customHeight="1">
      <c r="A851" s="233"/>
      <c r="B851" s="234"/>
      <c r="C851" s="227"/>
      <c r="D851" s="226"/>
      <c r="E851" s="235"/>
      <c r="F851" s="90"/>
    </row>
    <row r="852" ht="22.5" customHeight="1">
      <c r="A852" s="233"/>
      <c r="B852" s="234"/>
      <c r="C852" s="227"/>
      <c r="D852" s="226"/>
      <c r="E852" s="235"/>
      <c r="F852" s="90"/>
    </row>
    <row r="853" ht="22.5" customHeight="1">
      <c r="A853" s="233"/>
      <c r="B853" s="234"/>
      <c r="C853" s="227"/>
      <c r="D853" s="226"/>
      <c r="E853" s="235"/>
      <c r="F853" s="90"/>
    </row>
    <row r="854" ht="22.5" customHeight="1">
      <c r="A854" s="233"/>
      <c r="B854" s="234"/>
      <c r="C854" s="227"/>
      <c r="D854" s="226"/>
      <c r="E854" s="235"/>
      <c r="F854" s="90"/>
    </row>
    <row r="855" ht="22.5" customHeight="1">
      <c r="A855" s="233"/>
      <c r="B855" s="234"/>
      <c r="C855" s="227"/>
      <c r="D855" s="226"/>
      <c r="E855" s="235"/>
      <c r="F855" s="90"/>
    </row>
    <row r="856" ht="22.5" customHeight="1">
      <c r="A856" s="233"/>
      <c r="B856" s="234"/>
      <c r="C856" s="227"/>
      <c r="D856" s="226"/>
      <c r="E856" s="235"/>
      <c r="F856" s="90"/>
    </row>
    <row r="857" ht="22.5" customHeight="1">
      <c r="A857" s="233"/>
      <c r="B857" s="234"/>
      <c r="C857" s="227"/>
      <c r="D857" s="226"/>
      <c r="E857" s="235"/>
      <c r="F857" s="90"/>
    </row>
    <row r="858" ht="22.5" customHeight="1">
      <c r="A858" s="233"/>
      <c r="B858" s="234"/>
      <c r="C858" s="227"/>
      <c r="D858" s="226"/>
      <c r="E858" s="235"/>
      <c r="F858" s="90"/>
    </row>
    <row r="859" ht="22.5" customHeight="1">
      <c r="A859" s="233"/>
      <c r="B859" s="234"/>
      <c r="C859" s="227"/>
      <c r="D859" s="226"/>
      <c r="E859" s="235"/>
      <c r="F859" s="90"/>
    </row>
    <row r="860" ht="22.5" customHeight="1">
      <c r="A860" s="233"/>
      <c r="B860" s="234"/>
      <c r="C860" s="227"/>
      <c r="D860" s="226"/>
      <c r="E860" s="235"/>
      <c r="F860" s="90"/>
    </row>
    <row r="861" ht="22.5" customHeight="1">
      <c r="A861" s="233"/>
      <c r="B861" s="234"/>
      <c r="C861" s="227"/>
      <c r="D861" s="226"/>
      <c r="E861" s="235"/>
      <c r="F861" s="90"/>
    </row>
    <row r="862" ht="22.5" customHeight="1">
      <c r="A862" s="233"/>
      <c r="B862" s="234"/>
      <c r="C862" s="227"/>
      <c r="D862" s="226"/>
      <c r="E862" s="235"/>
      <c r="F862" s="90"/>
    </row>
    <row r="863" ht="22.5" customHeight="1">
      <c r="A863" s="233"/>
      <c r="B863" s="234"/>
      <c r="C863" s="227"/>
      <c r="D863" s="226"/>
      <c r="E863" s="235"/>
      <c r="F863" s="90"/>
    </row>
    <row r="864" ht="22.5" customHeight="1">
      <c r="A864" s="233"/>
      <c r="B864" s="234"/>
      <c r="C864" s="227"/>
      <c r="D864" s="226"/>
      <c r="E864" s="235"/>
      <c r="F864" s="90"/>
    </row>
    <row r="865" ht="22.5" customHeight="1">
      <c r="A865" s="233"/>
      <c r="B865" s="234"/>
      <c r="C865" s="227"/>
      <c r="D865" s="226"/>
      <c r="E865" s="235"/>
      <c r="F865" s="90"/>
    </row>
    <row r="866" ht="22.5" customHeight="1">
      <c r="A866" s="233"/>
      <c r="B866" s="234"/>
      <c r="C866" s="227"/>
      <c r="D866" s="226"/>
      <c r="E866" s="235"/>
      <c r="F866" s="90"/>
    </row>
    <row r="867" ht="22.5" customHeight="1">
      <c r="A867" s="233"/>
      <c r="B867" s="234"/>
      <c r="C867" s="227"/>
      <c r="D867" s="226"/>
      <c r="E867" s="235"/>
      <c r="F867" s="90"/>
    </row>
    <row r="868" ht="22.5" customHeight="1">
      <c r="A868" s="233"/>
      <c r="B868" s="234"/>
      <c r="C868" s="227"/>
      <c r="D868" s="226"/>
      <c r="E868" s="235"/>
      <c r="F868" s="90"/>
    </row>
    <row r="869" ht="22.5" customHeight="1">
      <c r="A869" s="233"/>
      <c r="B869" s="234"/>
      <c r="C869" s="227"/>
      <c r="D869" s="226"/>
      <c r="E869" s="235"/>
      <c r="F869" s="90"/>
    </row>
    <row r="870" ht="22.5" customHeight="1">
      <c r="A870" s="233"/>
      <c r="B870" s="234"/>
      <c r="C870" s="227"/>
      <c r="D870" s="226"/>
      <c r="E870" s="235"/>
      <c r="F870" s="90"/>
    </row>
    <row r="871" ht="22.5" customHeight="1">
      <c r="A871" s="233"/>
      <c r="B871" s="234"/>
      <c r="C871" s="227"/>
      <c r="D871" s="226"/>
      <c r="E871" s="235"/>
      <c r="F871" s="90"/>
    </row>
    <row r="872" ht="22.5" customHeight="1">
      <c r="A872" s="233"/>
      <c r="B872" s="234"/>
      <c r="C872" s="227"/>
      <c r="D872" s="226"/>
      <c r="E872" s="235"/>
      <c r="F872" s="90"/>
    </row>
    <row r="873" ht="22.5" customHeight="1">
      <c r="A873" s="233"/>
      <c r="B873" s="234"/>
      <c r="C873" s="227"/>
      <c r="D873" s="226"/>
      <c r="E873" s="235"/>
      <c r="F873" s="90"/>
    </row>
    <row r="874" ht="22.5" customHeight="1">
      <c r="A874" s="233"/>
      <c r="B874" s="234"/>
      <c r="C874" s="227"/>
      <c r="D874" s="226"/>
      <c r="E874" s="235"/>
      <c r="F874" s="90"/>
    </row>
    <row r="875" ht="22.5" customHeight="1">
      <c r="A875" s="233"/>
      <c r="B875" s="234"/>
      <c r="C875" s="227"/>
      <c r="D875" s="226"/>
      <c r="E875" s="235"/>
      <c r="F875" s="90"/>
    </row>
    <row r="876" ht="22.5" customHeight="1">
      <c r="A876" s="233"/>
      <c r="B876" s="234"/>
      <c r="C876" s="227"/>
      <c r="D876" s="226"/>
      <c r="E876" s="235"/>
      <c r="F876" s="90"/>
    </row>
    <row r="877" ht="22.5" customHeight="1">
      <c r="A877" s="233"/>
      <c r="B877" s="234"/>
      <c r="C877" s="227"/>
      <c r="D877" s="226"/>
      <c r="E877" s="235"/>
      <c r="F877" s="90"/>
    </row>
    <row r="878" ht="22.5" customHeight="1">
      <c r="A878" s="233"/>
      <c r="B878" s="234"/>
      <c r="C878" s="227"/>
      <c r="D878" s="226"/>
      <c r="E878" s="235"/>
      <c r="F878" s="90"/>
    </row>
    <row r="879" ht="22.5" customHeight="1">
      <c r="A879" s="233"/>
      <c r="B879" s="234"/>
      <c r="C879" s="227"/>
      <c r="D879" s="226"/>
      <c r="E879" s="235"/>
      <c r="F879" s="90"/>
    </row>
    <row r="880" ht="22.5" customHeight="1">
      <c r="A880" s="233"/>
      <c r="B880" s="234"/>
      <c r="C880" s="227"/>
      <c r="D880" s="226"/>
      <c r="E880" s="235"/>
      <c r="F880" s="90"/>
    </row>
    <row r="881" ht="22.5" customHeight="1">
      <c r="A881" s="233"/>
      <c r="B881" s="234"/>
      <c r="C881" s="227"/>
      <c r="D881" s="226"/>
      <c r="E881" s="235"/>
      <c r="F881" s="90"/>
    </row>
    <row r="882" ht="22.5" customHeight="1">
      <c r="A882" s="233"/>
      <c r="B882" s="234"/>
      <c r="C882" s="227"/>
      <c r="D882" s="226"/>
      <c r="E882" s="235"/>
      <c r="F882" s="90"/>
    </row>
    <row r="883" ht="22.5" customHeight="1">
      <c r="A883" s="233"/>
      <c r="B883" s="234"/>
      <c r="C883" s="227"/>
      <c r="D883" s="226"/>
      <c r="E883" s="235"/>
      <c r="F883" s="90"/>
    </row>
    <row r="884" ht="22.5" customHeight="1">
      <c r="A884" s="233"/>
      <c r="B884" s="234"/>
      <c r="C884" s="227"/>
      <c r="D884" s="226"/>
      <c r="E884" s="235"/>
      <c r="F884" s="90"/>
    </row>
    <row r="885" ht="22.5" customHeight="1">
      <c r="A885" s="233"/>
      <c r="B885" s="234"/>
      <c r="C885" s="227"/>
      <c r="D885" s="226"/>
      <c r="E885" s="235"/>
      <c r="F885" s="90"/>
    </row>
    <row r="886" ht="22.5" customHeight="1">
      <c r="A886" s="233"/>
      <c r="B886" s="234"/>
      <c r="C886" s="227"/>
      <c r="D886" s="226"/>
      <c r="E886" s="235"/>
      <c r="F886" s="90"/>
    </row>
    <row r="887" ht="22.5" customHeight="1">
      <c r="A887" s="233"/>
      <c r="B887" s="234"/>
      <c r="C887" s="227"/>
      <c r="D887" s="226"/>
      <c r="E887" s="235"/>
      <c r="F887" s="90"/>
    </row>
    <row r="888" ht="22.5" customHeight="1">
      <c r="A888" s="233"/>
      <c r="B888" s="234"/>
      <c r="C888" s="227"/>
      <c r="D888" s="226"/>
      <c r="E888" s="235"/>
      <c r="F888" s="90"/>
    </row>
    <row r="889" ht="22.5" customHeight="1">
      <c r="A889" s="233"/>
      <c r="B889" s="234"/>
      <c r="C889" s="227"/>
      <c r="D889" s="226"/>
      <c r="E889" s="235"/>
      <c r="F889" s="90"/>
    </row>
    <row r="890" ht="22.5" customHeight="1">
      <c r="A890" s="233"/>
      <c r="B890" s="234"/>
      <c r="C890" s="227"/>
      <c r="D890" s="226"/>
      <c r="E890" s="235"/>
      <c r="F890" s="90"/>
    </row>
    <row r="891" ht="22.5" customHeight="1">
      <c r="A891" s="233"/>
      <c r="B891" s="234"/>
      <c r="C891" s="227"/>
      <c r="D891" s="226"/>
      <c r="E891" s="235"/>
      <c r="F891" s="90"/>
    </row>
    <row r="892" ht="22.5" customHeight="1">
      <c r="A892" s="233"/>
      <c r="B892" s="234"/>
      <c r="C892" s="227"/>
      <c r="D892" s="226"/>
      <c r="E892" s="235"/>
      <c r="F892" s="90"/>
    </row>
    <row r="893" ht="22.5" customHeight="1">
      <c r="A893" s="233"/>
      <c r="B893" s="234"/>
      <c r="C893" s="227"/>
      <c r="D893" s="226"/>
      <c r="E893" s="235"/>
      <c r="F893" s="90"/>
    </row>
    <row r="894" ht="22.5" customHeight="1">
      <c r="A894" s="233"/>
      <c r="B894" s="234"/>
      <c r="C894" s="227"/>
      <c r="D894" s="226"/>
      <c r="E894" s="235"/>
      <c r="F894" s="90"/>
    </row>
    <row r="895" ht="22.5" customHeight="1">
      <c r="A895" s="233"/>
      <c r="B895" s="234"/>
      <c r="C895" s="227"/>
      <c r="D895" s="226"/>
      <c r="E895" s="235"/>
      <c r="F895" s="90"/>
    </row>
    <row r="896" ht="22.5" customHeight="1">
      <c r="A896" s="233"/>
      <c r="B896" s="234"/>
      <c r="C896" s="227"/>
      <c r="D896" s="226"/>
      <c r="E896" s="235"/>
      <c r="F896" s="90"/>
    </row>
    <row r="897" ht="22.5" customHeight="1">
      <c r="A897" s="233"/>
      <c r="B897" s="234"/>
      <c r="C897" s="227"/>
      <c r="D897" s="226"/>
      <c r="E897" s="235"/>
      <c r="F897" s="90"/>
    </row>
    <row r="898" ht="22.5" customHeight="1">
      <c r="A898" s="233"/>
      <c r="B898" s="234"/>
      <c r="C898" s="227"/>
      <c r="D898" s="226"/>
      <c r="E898" s="235"/>
      <c r="F898" s="90"/>
    </row>
    <row r="899" ht="22.5" customHeight="1">
      <c r="A899" s="233"/>
      <c r="B899" s="234"/>
      <c r="C899" s="227"/>
      <c r="D899" s="226"/>
      <c r="E899" s="235"/>
      <c r="F899" s="90"/>
    </row>
    <row r="900" ht="22.5" customHeight="1">
      <c r="A900" s="233"/>
      <c r="B900" s="234"/>
      <c r="C900" s="227"/>
      <c r="D900" s="226"/>
      <c r="E900" s="235"/>
      <c r="F900" s="90"/>
    </row>
    <row r="901" ht="22.5" customHeight="1">
      <c r="A901" s="233"/>
      <c r="B901" s="234"/>
      <c r="C901" s="227"/>
      <c r="D901" s="226"/>
      <c r="E901" s="235"/>
      <c r="F901" s="90"/>
    </row>
    <row r="902" ht="22.5" customHeight="1">
      <c r="A902" s="233"/>
      <c r="B902" s="234"/>
      <c r="C902" s="227"/>
      <c r="D902" s="226"/>
      <c r="E902" s="235"/>
      <c r="F902" s="90"/>
    </row>
    <row r="903" ht="22.5" customHeight="1">
      <c r="A903" s="233"/>
      <c r="B903" s="234"/>
      <c r="C903" s="227"/>
      <c r="D903" s="226"/>
      <c r="E903" s="235"/>
      <c r="F903" s="90"/>
    </row>
    <row r="904" ht="22.5" customHeight="1">
      <c r="A904" s="233"/>
      <c r="B904" s="234"/>
      <c r="C904" s="227"/>
      <c r="D904" s="226"/>
      <c r="E904" s="235"/>
      <c r="F904" s="90"/>
    </row>
    <row r="905" ht="22.5" customHeight="1">
      <c r="A905" s="233"/>
      <c r="B905" s="234"/>
      <c r="C905" s="227"/>
      <c r="D905" s="226"/>
      <c r="E905" s="235"/>
      <c r="F905" s="90"/>
    </row>
    <row r="906" ht="22.5" customHeight="1">
      <c r="A906" s="233"/>
      <c r="B906" s="234"/>
      <c r="C906" s="227"/>
      <c r="D906" s="226"/>
      <c r="E906" s="235"/>
      <c r="F906" s="90"/>
    </row>
    <row r="907" ht="22.5" customHeight="1">
      <c r="A907" s="233"/>
      <c r="B907" s="234"/>
      <c r="C907" s="227"/>
      <c r="D907" s="226"/>
      <c r="E907" s="235"/>
      <c r="F907" s="90"/>
    </row>
    <row r="908" ht="22.5" customHeight="1">
      <c r="A908" s="233"/>
      <c r="B908" s="234"/>
      <c r="C908" s="227"/>
      <c r="D908" s="226"/>
      <c r="E908" s="235"/>
      <c r="F908" s="90"/>
    </row>
    <row r="909" ht="22.5" customHeight="1">
      <c r="A909" s="233"/>
      <c r="B909" s="234"/>
      <c r="C909" s="227"/>
      <c r="D909" s="226"/>
      <c r="E909" s="235"/>
      <c r="F909" s="90"/>
    </row>
    <row r="910" ht="22.5" customHeight="1">
      <c r="A910" s="233"/>
      <c r="B910" s="234"/>
      <c r="C910" s="227"/>
      <c r="D910" s="226"/>
      <c r="E910" s="235"/>
      <c r="F910" s="90"/>
    </row>
    <row r="911" ht="22.5" customHeight="1">
      <c r="A911" s="233"/>
      <c r="B911" s="234"/>
      <c r="C911" s="227"/>
      <c r="D911" s="226"/>
      <c r="E911" s="235"/>
      <c r="F911" s="90"/>
    </row>
    <row r="912" ht="22.5" customHeight="1">
      <c r="A912" s="233"/>
      <c r="B912" s="234"/>
      <c r="C912" s="227"/>
      <c r="D912" s="226"/>
      <c r="E912" s="235"/>
      <c r="F912" s="90"/>
    </row>
    <row r="913" ht="22.5" customHeight="1">
      <c r="A913" s="233"/>
      <c r="B913" s="234"/>
      <c r="C913" s="227"/>
      <c r="D913" s="226"/>
      <c r="E913" s="235"/>
      <c r="F913" s="90"/>
    </row>
    <row r="914" ht="22.5" customHeight="1">
      <c r="A914" s="233"/>
      <c r="B914" s="234"/>
      <c r="C914" s="227"/>
      <c r="D914" s="226"/>
      <c r="E914" s="235"/>
      <c r="F914" s="90"/>
    </row>
    <row r="915" ht="22.5" customHeight="1">
      <c r="A915" s="233"/>
      <c r="B915" s="234"/>
      <c r="C915" s="227"/>
      <c r="D915" s="226"/>
      <c r="E915" s="235"/>
      <c r="F915" s="90"/>
    </row>
    <row r="916" ht="22.5" customHeight="1">
      <c r="A916" s="233"/>
      <c r="B916" s="234"/>
      <c r="C916" s="227"/>
      <c r="D916" s="226"/>
      <c r="E916" s="235"/>
      <c r="F916" s="90"/>
    </row>
    <row r="917" ht="22.5" customHeight="1">
      <c r="A917" s="233"/>
      <c r="B917" s="234"/>
      <c r="C917" s="227"/>
      <c r="D917" s="226"/>
      <c r="E917" s="235"/>
      <c r="F917" s="90"/>
    </row>
    <row r="918" ht="22.5" customHeight="1">
      <c r="A918" s="233"/>
      <c r="B918" s="234"/>
      <c r="C918" s="227"/>
      <c r="D918" s="226"/>
      <c r="E918" s="235"/>
      <c r="F918" s="90"/>
    </row>
    <row r="919" ht="22.5" customHeight="1">
      <c r="A919" s="233"/>
      <c r="B919" s="234"/>
      <c r="C919" s="227"/>
      <c r="D919" s="226"/>
      <c r="E919" s="235"/>
      <c r="F919" s="90"/>
    </row>
    <row r="920" ht="22.5" customHeight="1">
      <c r="A920" s="233"/>
      <c r="B920" s="234"/>
      <c r="C920" s="227"/>
      <c r="D920" s="226"/>
      <c r="E920" s="235"/>
      <c r="F920" s="90"/>
    </row>
    <row r="921" ht="22.5" customHeight="1">
      <c r="A921" s="233"/>
      <c r="B921" s="234"/>
      <c r="C921" s="227"/>
      <c r="D921" s="226"/>
      <c r="E921" s="235"/>
      <c r="F921" s="90"/>
    </row>
    <row r="922" ht="22.5" customHeight="1">
      <c r="A922" s="233"/>
      <c r="B922" s="234"/>
      <c r="C922" s="227"/>
      <c r="D922" s="226"/>
      <c r="E922" s="235"/>
      <c r="F922" s="90"/>
    </row>
    <row r="923" ht="22.5" customHeight="1">
      <c r="A923" s="233"/>
      <c r="B923" s="234"/>
      <c r="C923" s="227"/>
      <c r="D923" s="226"/>
      <c r="E923" s="235"/>
      <c r="F923" s="90"/>
    </row>
    <row r="924" ht="22.5" customHeight="1">
      <c r="A924" s="233"/>
      <c r="B924" s="234"/>
      <c r="C924" s="227"/>
      <c r="D924" s="226"/>
      <c r="E924" s="235"/>
      <c r="F924" s="90"/>
    </row>
    <row r="925" ht="22.5" customHeight="1">
      <c r="A925" s="233"/>
      <c r="B925" s="234"/>
      <c r="C925" s="227"/>
      <c r="D925" s="226"/>
      <c r="E925" s="235"/>
      <c r="F925" s="90"/>
    </row>
    <row r="926" ht="22.5" customHeight="1">
      <c r="A926" s="233"/>
      <c r="B926" s="234"/>
      <c r="C926" s="227"/>
      <c r="D926" s="226"/>
      <c r="E926" s="235"/>
      <c r="F926" s="90"/>
    </row>
    <row r="927" ht="22.5" customHeight="1">
      <c r="A927" s="233"/>
      <c r="B927" s="234"/>
      <c r="C927" s="227"/>
      <c r="D927" s="226"/>
      <c r="E927" s="235"/>
      <c r="F927" s="90"/>
    </row>
    <row r="928" ht="22.5" customHeight="1">
      <c r="A928" s="233"/>
      <c r="B928" s="234"/>
      <c r="C928" s="227"/>
      <c r="D928" s="226"/>
      <c r="E928" s="235"/>
      <c r="F928" s="90"/>
    </row>
    <row r="929" ht="22.5" customHeight="1">
      <c r="A929" s="233"/>
      <c r="B929" s="234"/>
      <c r="C929" s="227"/>
      <c r="D929" s="226"/>
      <c r="E929" s="235"/>
      <c r="F929" s="90"/>
    </row>
    <row r="930" ht="22.5" customHeight="1">
      <c r="A930" s="233"/>
      <c r="B930" s="234"/>
      <c r="C930" s="227"/>
      <c r="D930" s="226"/>
      <c r="E930" s="235"/>
      <c r="F930" s="90"/>
    </row>
    <row r="931" ht="22.5" customHeight="1">
      <c r="A931" s="233"/>
      <c r="B931" s="234"/>
      <c r="C931" s="227"/>
      <c r="D931" s="226"/>
      <c r="E931" s="235"/>
      <c r="F931" s="90"/>
    </row>
    <row r="932" ht="22.5" customHeight="1">
      <c r="A932" s="233"/>
      <c r="B932" s="234"/>
      <c r="C932" s="227"/>
      <c r="D932" s="226"/>
      <c r="E932" s="235"/>
      <c r="F932" s="90"/>
    </row>
    <row r="933" ht="22.5" customHeight="1">
      <c r="A933" s="233"/>
      <c r="B933" s="234"/>
      <c r="C933" s="227"/>
      <c r="D933" s="226"/>
      <c r="E933" s="235"/>
      <c r="F933" s="90"/>
    </row>
    <row r="934" ht="22.5" customHeight="1">
      <c r="A934" s="233"/>
      <c r="B934" s="234"/>
      <c r="C934" s="227"/>
      <c r="D934" s="226"/>
      <c r="E934" s="235"/>
      <c r="F934" s="90"/>
    </row>
    <row r="935" ht="22.5" customHeight="1">
      <c r="A935" s="233"/>
      <c r="B935" s="234"/>
      <c r="C935" s="227"/>
      <c r="D935" s="226"/>
      <c r="E935" s="235"/>
      <c r="F935" s="90"/>
    </row>
    <row r="936" ht="22.5" customHeight="1">
      <c r="A936" s="233"/>
      <c r="B936" s="234"/>
      <c r="C936" s="227"/>
      <c r="D936" s="226"/>
      <c r="E936" s="235"/>
      <c r="F936" s="90"/>
    </row>
    <row r="937" ht="22.5" customHeight="1">
      <c r="A937" s="233"/>
      <c r="B937" s="234"/>
      <c r="C937" s="227"/>
      <c r="D937" s="226"/>
      <c r="E937" s="235"/>
      <c r="F937" s="90"/>
    </row>
    <row r="938" ht="22.5" customHeight="1">
      <c r="A938" s="233"/>
      <c r="B938" s="234"/>
      <c r="C938" s="227"/>
      <c r="D938" s="226"/>
      <c r="E938" s="235"/>
      <c r="F938" s="90"/>
    </row>
    <row r="939" ht="22.5" customHeight="1">
      <c r="A939" s="233"/>
      <c r="B939" s="234"/>
      <c r="C939" s="227"/>
      <c r="D939" s="226"/>
      <c r="E939" s="235"/>
      <c r="F939" s="90"/>
    </row>
    <row r="940" ht="22.5" customHeight="1">
      <c r="A940" s="233"/>
      <c r="B940" s="234"/>
      <c r="C940" s="227"/>
      <c r="D940" s="226"/>
      <c r="E940" s="235"/>
      <c r="F940" s="90"/>
    </row>
    <row r="941" ht="22.5" customHeight="1">
      <c r="A941" s="233"/>
      <c r="B941" s="234"/>
      <c r="C941" s="227"/>
      <c r="D941" s="226"/>
      <c r="E941" s="235"/>
      <c r="F941" s="90"/>
    </row>
    <row r="942" ht="22.5" customHeight="1">
      <c r="A942" s="233"/>
      <c r="B942" s="234"/>
      <c r="C942" s="227"/>
      <c r="D942" s="226"/>
      <c r="E942" s="235"/>
      <c r="F942" s="90"/>
    </row>
    <row r="943" ht="22.5" customHeight="1">
      <c r="A943" s="233"/>
      <c r="B943" s="234"/>
      <c r="C943" s="227"/>
      <c r="D943" s="226"/>
      <c r="E943" s="235"/>
      <c r="F943" s="90"/>
    </row>
    <row r="944" ht="22.5" customHeight="1">
      <c r="A944" s="233"/>
      <c r="B944" s="234"/>
      <c r="C944" s="227"/>
      <c r="D944" s="226"/>
      <c r="E944" s="235"/>
      <c r="F944" s="90"/>
    </row>
    <row r="945" ht="22.5" customHeight="1">
      <c r="A945" s="233"/>
      <c r="B945" s="234"/>
      <c r="C945" s="227"/>
      <c r="D945" s="226"/>
      <c r="E945" s="235"/>
      <c r="F945" s="90"/>
    </row>
    <row r="946" ht="22.5" customHeight="1">
      <c r="A946" s="233"/>
      <c r="B946" s="234"/>
      <c r="C946" s="227"/>
      <c r="D946" s="226"/>
      <c r="E946" s="235"/>
      <c r="F946" s="90"/>
    </row>
    <row r="947" ht="22.5" customHeight="1">
      <c r="A947" s="233"/>
      <c r="B947" s="234"/>
      <c r="C947" s="227"/>
      <c r="D947" s="226"/>
      <c r="E947" s="235"/>
      <c r="F947" s="90"/>
    </row>
    <row r="948" ht="22.5" customHeight="1">
      <c r="A948" s="233"/>
      <c r="B948" s="234"/>
      <c r="C948" s="227"/>
      <c r="D948" s="226"/>
      <c r="E948" s="235"/>
      <c r="F948" s="90"/>
    </row>
    <row r="949" ht="22.5" customHeight="1">
      <c r="A949" s="233"/>
      <c r="B949" s="234"/>
      <c r="C949" s="227"/>
      <c r="D949" s="226"/>
      <c r="E949" s="235"/>
      <c r="F949" s="90"/>
    </row>
    <row r="950" ht="22.5" customHeight="1">
      <c r="A950" s="233"/>
      <c r="B950" s="234"/>
      <c r="C950" s="227"/>
      <c r="D950" s="226"/>
      <c r="E950" s="235"/>
      <c r="F950" s="90"/>
    </row>
    <row r="951" ht="22.5" customHeight="1">
      <c r="A951" s="233"/>
      <c r="B951" s="234"/>
      <c r="C951" s="227"/>
      <c r="D951" s="226"/>
      <c r="E951" s="235"/>
      <c r="F951" s="90"/>
    </row>
    <row r="952" ht="22.5" customHeight="1">
      <c r="A952" s="233"/>
      <c r="B952" s="234"/>
      <c r="C952" s="227"/>
      <c r="D952" s="226"/>
      <c r="E952" s="235"/>
      <c r="F952" s="90"/>
    </row>
    <row r="953" ht="22.5" customHeight="1">
      <c r="A953" s="233"/>
      <c r="B953" s="234"/>
      <c r="C953" s="227"/>
      <c r="D953" s="226"/>
      <c r="E953" s="235"/>
      <c r="F953" s="90"/>
    </row>
    <row r="954" ht="22.5" customHeight="1">
      <c r="A954" s="233"/>
      <c r="B954" s="234"/>
      <c r="C954" s="227"/>
      <c r="D954" s="226"/>
      <c r="E954" s="235"/>
      <c r="F954" s="90"/>
    </row>
    <row r="955" ht="22.5" customHeight="1">
      <c r="A955" s="233"/>
      <c r="B955" s="234"/>
      <c r="C955" s="227"/>
      <c r="D955" s="226"/>
      <c r="E955" s="235"/>
      <c r="F955" s="90"/>
    </row>
    <row r="956" ht="22.5" customHeight="1">
      <c r="A956" s="233"/>
      <c r="B956" s="234"/>
      <c r="C956" s="227"/>
      <c r="D956" s="226"/>
      <c r="E956" s="235"/>
      <c r="F956" s="90"/>
    </row>
    <row r="957" ht="22.5" customHeight="1">
      <c r="A957" s="233"/>
      <c r="B957" s="234"/>
      <c r="C957" s="227"/>
      <c r="D957" s="226"/>
      <c r="E957" s="235"/>
      <c r="F957" s="90"/>
    </row>
    <row r="958" ht="22.5" customHeight="1">
      <c r="A958" s="233"/>
      <c r="B958" s="234"/>
      <c r="C958" s="227"/>
      <c r="D958" s="226"/>
      <c r="E958" s="235"/>
      <c r="F958" s="90"/>
    </row>
    <row r="959" ht="22.5" customHeight="1">
      <c r="A959" s="233"/>
      <c r="B959" s="234"/>
      <c r="C959" s="227"/>
      <c r="D959" s="226"/>
      <c r="E959" s="235"/>
      <c r="F959" s="90"/>
    </row>
    <row r="960" ht="22.5" customHeight="1">
      <c r="A960" s="233"/>
      <c r="B960" s="234"/>
      <c r="C960" s="227"/>
      <c r="D960" s="226"/>
      <c r="E960" s="235"/>
      <c r="F960" s="90"/>
    </row>
    <row r="961" ht="22.5" customHeight="1">
      <c r="A961" s="233"/>
      <c r="B961" s="234"/>
      <c r="C961" s="227"/>
      <c r="D961" s="226"/>
      <c r="E961" s="235"/>
      <c r="F961" s="90"/>
    </row>
    <row r="962" ht="22.5" customHeight="1">
      <c r="A962" s="233"/>
      <c r="B962" s="234"/>
      <c r="C962" s="227"/>
      <c r="D962" s="226"/>
      <c r="E962" s="235"/>
      <c r="F962" s="90"/>
    </row>
    <row r="963" ht="22.5" customHeight="1">
      <c r="A963" s="233"/>
      <c r="B963" s="234"/>
      <c r="C963" s="227"/>
      <c r="D963" s="226"/>
      <c r="E963" s="235"/>
      <c r="F963" s="90"/>
    </row>
    <row r="964" ht="22.5" customHeight="1">
      <c r="A964" s="233"/>
      <c r="B964" s="234"/>
      <c r="C964" s="227"/>
      <c r="D964" s="226"/>
      <c r="E964" s="235"/>
      <c r="F964" s="90"/>
    </row>
    <row r="965" ht="22.5" customHeight="1">
      <c r="A965" s="233"/>
      <c r="B965" s="234"/>
      <c r="C965" s="227"/>
      <c r="D965" s="226"/>
      <c r="E965" s="235"/>
      <c r="F965" s="90"/>
    </row>
    <row r="966" ht="22.5" customHeight="1">
      <c r="A966" s="233"/>
      <c r="B966" s="234"/>
      <c r="C966" s="227"/>
      <c r="D966" s="226"/>
      <c r="E966" s="235"/>
      <c r="F966" s="90"/>
    </row>
    <row r="967" ht="22.5" customHeight="1">
      <c r="A967" s="233"/>
      <c r="B967" s="234"/>
      <c r="C967" s="227"/>
      <c r="D967" s="226"/>
      <c r="E967" s="235"/>
      <c r="F967" s="90"/>
    </row>
    <row r="968" ht="22.5" customHeight="1">
      <c r="A968" s="233"/>
      <c r="B968" s="234"/>
      <c r="C968" s="227"/>
      <c r="D968" s="226"/>
      <c r="E968" s="235"/>
      <c r="F968" s="90"/>
    </row>
    <row r="969" ht="22.5" customHeight="1">
      <c r="A969" s="233"/>
      <c r="B969" s="234"/>
      <c r="C969" s="227"/>
      <c r="D969" s="226"/>
      <c r="E969" s="235"/>
      <c r="F969" s="90"/>
    </row>
    <row r="970" ht="22.5" customHeight="1">
      <c r="A970" s="233"/>
      <c r="B970" s="234"/>
      <c r="C970" s="227"/>
      <c r="D970" s="226"/>
      <c r="E970" s="235"/>
      <c r="F970" s="90"/>
    </row>
    <row r="971" ht="22.5" customHeight="1">
      <c r="A971" s="233"/>
      <c r="B971" s="234"/>
      <c r="C971" s="227"/>
      <c r="D971" s="226"/>
      <c r="E971" s="235"/>
      <c r="F971" s="90"/>
    </row>
    <row r="972" ht="22.5" customHeight="1">
      <c r="A972" s="233"/>
      <c r="B972" s="234"/>
      <c r="C972" s="227"/>
      <c r="D972" s="226"/>
      <c r="E972" s="235"/>
      <c r="F972" s="90"/>
    </row>
    <row r="973" ht="22.5" customHeight="1">
      <c r="A973" s="233"/>
      <c r="B973" s="234"/>
      <c r="C973" s="227"/>
      <c r="D973" s="226"/>
      <c r="E973" s="235"/>
      <c r="F973" s="90"/>
    </row>
    <row r="974" ht="22.5" customHeight="1">
      <c r="A974" s="233"/>
      <c r="B974" s="234"/>
      <c r="C974" s="227"/>
      <c r="D974" s="226"/>
      <c r="E974" s="235"/>
      <c r="F974" s="90"/>
    </row>
    <row r="975" ht="22.5" customHeight="1">
      <c r="A975" s="233"/>
      <c r="B975" s="234"/>
      <c r="C975" s="227"/>
      <c r="D975" s="226"/>
      <c r="E975" s="235"/>
      <c r="F975" s="90"/>
    </row>
    <row r="976" ht="22.5" customHeight="1">
      <c r="A976" s="233"/>
      <c r="B976" s="234"/>
      <c r="C976" s="227"/>
      <c r="D976" s="226"/>
      <c r="E976" s="235"/>
      <c r="F976" s="90"/>
    </row>
    <row r="977" ht="22.5" customHeight="1">
      <c r="A977" s="233"/>
      <c r="B977" s="234"/>
      <c r="C977" s="227"/>
      <c r="D977" s="226"/>
      <c r="E977" s="235"/>
      <c r="F977" s="90"/>
    </row>
    <row r="978" ht="22.5" customHeight="1">
      <c r="A978" s="233"/>
      <c r="B978" s="234"/>
      <c r="C978" s="227"/>
      <c r="D978" s="226"/>
      <c r="E978" s="235"/>
      <c r="F978" s="90"/>
    </row>
    <row r="979" ht="22.5" customHeight="1">
      <c r="A979" s="233"/>
      <c r="B979" s="234"/>
      <c r="C979" s="227"/>
      <c r="D979" s="226"/>
      <c r="E979" s="235"/>
      <c r="F979" s="90"/>
    </row>
    <row r="980" ht="22.5" customHeight="1">
      <c r="A980" s="233"/>
      <c r="B980" s="234"/>
      <c r="C980" s="227"/>
      <c r="D980" s="226"/>
      <c r="E980" s="235"/>
      <c r="F980" s="90"/>
    </row>
    <row r="981" ht="22.5" customHeight="1">
      <c r="A981" s="233"/>
      <c r="B981" s="234"/>
      <c r="C981" s="227"/>
      <c r="D981" s="226"/>
      <c r="E981" s="235"/>
      <c r="F981" s="90"/>
    </row>
    <row r="982" ht="22.5" customHeight="1">
      <c r="A982" s="233"/>
      <c r="B982" s="234"/>
      <c r="C982" s="227"/>
      <c r="D982" s="226"/>
      <c r="E982" s="235"/>
      <c r="F982" s="90"/>
    </row>
    <row r="983" ht="22.5" customHeight="1">
      <c r="A983" s="233"/>
      <c r="B983" s="234"/>
      <c r="C983" s="227"/>
      <c r="D983" s="226"/>
      <c r="E983" s="235"/>
      <c r="F983" s="90"/>
    </row>
    <row r="984" ht="22.5" customHeight="1">
      <c r="A984" s="233"/>
      <c r="B984" s="234"/>
      <c r="C984" s="227"/>
      <c r="D984" s="226"/>
      <c r="E984" s="235"/>
      <c r="F984" s="90"/>
    </row>
    <row r="985" ht="22.5" customHeight="1">
      <c r="A985" s="233"/>
      <c r="B985" s="234"/>
      <c r="C985" s="227"/>
      <c r="D985" s="226"/>
      <c r="E985" s="235"/>
      <c r="F985" s="90"/>
    </row>
    <row r="986" ht="22.5" customHeight="1">
      <c r="A986" s="233"/>
      <c r="B986" s="234"/>
      <c r="C986" s="227"/>
      <c r="D986" s="226"/>
      <c r="E986" s="235"/>
      <c r="F986" s="90"/>
    </row>
    <row r="987" ht="22.5" customHeight="1">
      <c r="A987" s="233"/>
      <c r="B987" s="234"/>
      <c r="C987" s="227"/>
      <c r="D987" s="226"/>
      <c r="E987" s="235"/>
      <c r="F987" s="90"/>
    </row>
    <row r="988" ht="22.5" customHeight="1">
      <c r="A988" s="233"/>
      <c r="B988" s="234"/>
      <c r="C988" s="227"/>
      <c r="D988" s="226"/>
      <c r="E988" s="235"/>
      <c r="F988" s="90"/>
    </row>
    <row r="989" ht="22.5" customHeight="1">
      <c r="A989" s="233"/>
      <c r="B989" s="234"/>
      <c r="C989" s="227"/>
      <c r="D989" s="226"/>
      <c r="E989" s="235"/>
      <c r="F989" s="90"/>
    </row>
    <row r="990" ht="22.5" customHeight="1">
      <c r="A990" s="233"/>
      <c r="B990" s="234"/>
      <c r="C990" s="227"/>
      <c r="D990" s="226"/>
      <c r="E990" s="235"/>
      <c r="F990" s="90"/>
    </row>
    <row r="991" ht="22.5" customHeight="1">
      <c r="A991" s="233"/>
      <c r="B991" s="234"/>
      <c r="C991" s="227"/>
      <c r="D991" s="226"/>
      <c r="E991" s="235"/>
      <c r="F991" s="90"/>
    </row>
    <row r="992" ht="22.5" customHeight="1">
      <c r="A992" s="233"/>
      <c r="B992" s="234"/>
      <c r="C992" s="227"/>
      <c r="D992" s="226"/>
      <c r="E992" s="235"/>
      <c r="F992" s="90"/>
    </row>
    <row r="993" ht="22.5" customHeight="1">
      <c r="A993" s="233"/>
      <c r="B993" s="234"/>
      <c r="C993" s="227"/>
      <c r="D993" s="226"/>
      <c r="E993" s="235"/>
      <c r="F993" s="90"/>
    </row>
    <row r="994" ht="22.5" customHeight="1">
      <c r="A994" s="233"/>
      <c r="B994" s="234"/>
      <c r="C994" s="227"/>
      <c r="D994" s="226"/>
      <c r="E994" s="235"/>
      <c r="F994" s="90"/>
    </row>
    <row r="995" ht="22.5" customHeight="1">
      <c r="A995" s="233"/>
      <c r="B995" s="234"/>
      <c r="C995" s="227"/>
      <c r="D995" s="226"/>
      <c r="E995" s="235"/>
      <c r="F995" s="90"/>
    </row>
    <row r="996" ht="22.5" customHeight="1">
      <c r="A996" s="233"/>
      <c r="B996" s="234"/>
      <c r="C996" s="227"/>
      <c r="D996" s="226"/>
      <c r="E996" s="235"/>
      <c r="F996" s="90"/>
    </row>
    <row r="997" ht="22.5" customHeight="1">
      <c r="A997" s="233"/>
      <c r="B997" s="234"/>
      <c r="C997" s="227"/>
      <c r="D997" s="226"/>
      <c r="E997" s="235"/>
      <c r="F997" s="90"/>
    </row>
    <row r="998" ht="22.5" customHeight="1">
      <c r="A998" s="233"/>
      <c r="B998" s="234"/>
      <c r="C998" s="227"/>
      <c r="D998" s="226"/>
      <c r="E998" s="235"/>
      <c r="F998" s="90"/>
    </row>
    <row r="999" ht="22.5" customHeight="1">
      <c r="A999" s="233"/>
      <c r="B999" s="234"/>
      <c r="C999" s="227"/>
      <c r="D999" s="226"/>
      <c r="E999" s="235"/>
      <c r="F999" s="90"/>
    </row>
    <row r="1000" ht="22.5" customHeight="1">
      <c r="A1000" s="233"/>
      <c r="B1000" s="234"/>
      <c r="C1000" s="227"/>
      <c r="D1000" s="226"/>
      <c r="E1000" s="235"/>
      <c r="F1000" s="90"/>
    </row>
    <row r="1001" ht="22.5" customHeight="1">
      <c r="A1001" s="233"/>
      <c r="B1001" s="234"/>
      <c r="C1001" s="227"/>
      <c r="D1001" s="226"/>
      <c r="E1001" s="235"/>
      <c r="F1001" s="90"/>
    </row>
    <row r="1002" ht="22.5" customHeight="1">
      <c r="A1002" s="233"/>
      <c r="B1002" s="234"/>
      <c r="C1002" s="227"/>
      <c r="D1002" s="226"/>
      <c r="E1002" s="235"/>
      <c r="F1002" s="90"/>
    </row>
    <row r="1003" ht="22.5" customHeight="1">
      <c r="A1003" s="233"/>
      <c r="B1003" s="234"/>
      <c r="C1003" s="227"/>
      <c r="D1003" s="226"/>
      <c r="E1003" s="235"/>
      <c r="F1003" s="90"/>
    </row>
    <row r="1004" ht="22.5" customHeight="1">
      <c r="A1004" s="233"/>
      <c r="B1004" s="234"/>
      <c r="C1004" s="227"/>
      <c r="D1004" s="226"/>
      <c r="E1004" s="235"/>
      <c r="F1004" s="90"/>
    </row>
    <row r="1005" ht="22.5" customHeight="1">
      <c r="A1005" s="233"/>
      <c r="B1005" s="234"/>
      <c r="C1005" s="227"/>
      <c r="D1005" s="226"/>
      <c r="E1005" s="235"/>
      <c r="F1005" s="90"/>
    </row>
    <row r="1006" ht="22.5" customHeight="1">
      <c r="A1006" s="233"/>
      <c r="B1006" s="234"/>
      <c r="C1006" s="227"/>
      <c r="D1006" s="226"/>
      <c r="E1006" s="235"/>
      <c r="F1006" s="90"/>
    </row>
    <row r="1007" ht="22.5" customHeight="1">
      <c r="A1007" s="233"/>
      <c r="B1007" s="234"/>
      <c r="C1007" s="227"/>
      <c r="D1007" s="226"/>
      <c r="E1007" s="235"/>
      <c r="F1007" s="90"/>
    </row>
    <row r="1008" ht="22.5" customHeight="1">
      <c r="A1008" s="233"/>
      <c r="B1008" s="234"/>
      <c r="C1008" s="227"/>
      <c r="D1008" s="226"/>
      <c r="E1008" s="235"/>
      <c r="F1008" s="90"/>
    </row>
    <row r="1009" ht="22.5" customHeight="1">
      <c r="A1009" s="233"/>
      <c r="B1009" s="234"/>
      <c r="C1009" s="227"/>
      <c r="D1009" s="226"/>
      <c r="E1009" s="235"/>
      <c r="F1009" s="90"/>
    </row>
    <row r="1010" ht="22.5" customHeight="1">
      <c r="A1010" s="233"/>
      <c r="B1010" s="234"/>
      <c r="C1010" s="227"/>
      <c r="D1010" s="226"/>
      <c r="E1010" s="235"/>
      <c r="F1010" s="90"/>
    </row>
    <row r="1011" ht="22.5" customHeight="1">
      <c r="A1011" s="233"/>
      <c r="B1011" s="234"/>
      <c r="C1011" s="227"/>
      <c r="D1011" s="226"/>
      <c r="E1011" s="235"/>
      <c r="F1011" s="90"/>
    </row>
    <row r="1012" ht="22.5" customHeight="1">
      <c r="A1012" s="233"/>
      <c r="B1012" s="234"/>
      <c r="C1012" s="227"/>
      <c r="D1012" s="226"/>
      <c r="E1012" s="235"/>
      <c r="F1012" s="90"/>
    </row>
    <row r="1013" ht="22.5" customHeight="1">
      <c r="A1013" s="233"/>
      <c r="B1013" s="234"/>
      <c r="C1013" s="227"/>
      <c r="D1013" s="226"/>
      <c r="E1013" s="235"/>
      <c r="F1013" s="90"/>
    </row>
  </sheetData>
  <dataValidations>
    <dataValidation type="list" allowBlank="1" sqref="I2">
      <formula1>"SALARIO,FOTOS,VIDEO,EDICION,NARANJA,PROGRESAR,REGALO,Me Debe,NOSE,USDT,VENTA"</formula1>
    </dataValidation>
    <dataValidation type="custom" allowBlank="1" showDropDown="1" sqref="K2 E2:E1013">
      <formula1>OR(NOT(ISERROR(DATEVALUE(E2))), AND(ISNUMBER(E2), LEFT(CELL("format", E2))="D"))</formula1>
    </dataValidation>
    <dataValidation type="list" allowBlank="1" sqref="C2:C1013">
      <formula1>"SALARIO,FOTOS,VIDEO,EDICION,NARANJA,PROGRESAR,REGALO,Me Debe,NOSE"</formula1>
    </dataValidation>
    <dataValidation type="custom" allowBlank="1" showDropDown="1" sqref="G2 A2:A1013">
      <formula1>AND(ISNUMBER(A2),(NOT(OR(NOT(ISERROR(DATEVALUE(A2))), AND(ISNUMBER(A2), LEFT(CELL("format", A2))="D")))))</formula1>
    </dataValidation>
    <dataValidation type="list" allowBlank="1" sqref="H2 B2:B1013">
      <formula1>#REF!</formula1>
    </dataValidation>
  </dataValidations>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4.5"/>
    <col customWidth="1" min="2" max="3" width="22.63"/>
    <col customWidth="1" min="4" max="4" width="30.5"/>
    <col customWidth="1" min="5" max="5" width="17.0"/>
    <col customWidth="1" min="6" max="6" width="4.63"/>
    <col customWidth="1" min="7" max="7" width="14.25"/>
    <col customWidth="1" min="8" max="12" width="17.88"/>
    <col customWidth="1" min="20" max="20" width="19.75"/>
    <col customWidth="1" min="21" max="21" width="15.13"/>
  </cols>
  <sheetData>
    <row r="1" ht="29.25" customHeight="1">
      <c r="A1" s="206" t="s">
        <v>1</v>
      </c>
      <c r="B1" s="206" t="s">
        <v>116</v>
      </c>
      <c r="C1" s="206" t="s">
        <v>117</v>
      </c>
      <c r="D1" s="206" t="s">
        <v>118</v>
      </c>
      <c r="E1" s="236" t="s">
        <v>119</v>
      </c>
      <c r="F1" s="90"/>
      <c r="G1" s="206" t="s">
        <v>1</v>
      </c>
      <c r="H1" s="206" t="s">
        <v>116</v>
      </c>
      <c r="I1" s="206" t="s">
        <v>117</v>
      </c>
      <c r="J1" s="206" t="s">
        <v>118</v>
      </c>
      <c r="K1" s="236" t="s">
        <v>119</v>
      </c>
      <c r="U1" s="237"/>
    </row>
    <row r="2" ht="22.5" customHeight="1">
      <c r="A2" s="221">
        <v>300918.65</v>
      </c>
      <c r="B2" s="238" t="s">
        <v>15</v>
      </c>
      <c r="C2" s="239" t="s">
        <v>244</v>
      </c>
      <c r="D2" s="226"/>
      <c r="E2" s="240">
        <v>45745.0</v>
      </c>
      <c r="F2" s="90"/>
      <c r="G2" s="212"/>
      <c r="H2" s="224"/>
      <c r="I2" s="224"/>
      <c r="J2" s="223"/>
      <c r="K2" s="240"/>
    </row>
    <row r="3" ht="21.0" customHeight="1">
      <c r="A3" s="221">
        <v>12579.6</v>
      </c>
      <c r="B3" s="225" t="s">
        <v>15</v>
      </c>
      <c r="C3" s="239" t="s">
        <v>245</v>
      </c>
      <c r="D3" s="226"/>
      <c r="E3" s="240">
        <v>45745.0</v>
      </c>
      <c r="F3" s="90"/>
    </row>
    <row r="4" ht="22.5" customHeight="1">
      <c r="A4" s="221">
        <v>8000.0</v>
      </c>
      <c r="B4" s="225" t="s">
        <v>15</v>
      </c>
      <c r="C4" s="239" t="s">
        <v>246</v>
      </c>
      <c r="D4" s="226"/>
      <c r="E4" s="240">
        <v>45745.0</v>
      </c>
      <c r="F4" s="90"/>
      <c r="M4" s="174"/>
      <c r="N4" s="175"/>
    </row>
    <row r="5" ht="22.5" customHeight="1">
      <c r="A5" s="221">
        <v>55.75</v>
      </c>
      <c r="B5" s="225" t="s">
        <v>15</v>
      </c>
      <c r="C5" s="239" t="s">
        <v>125</v>
      </c>
      <c r="D5" s="226"/>
      <c r="E5" s="240">
        <v>45745.0</v>
      </c>
      <c r="F5" s="90"/>
      <c r="M5" s="174"/>
      <c r="N5" s="175"/>
    </row>
    <row r="6" ht="22.5" customHeight="1">
      <c r="A6" s="221">
        <v>31500.0</v>
      </c>
      <c r="B6" s="225" t="s">
        <v>15</v>
      </c>
      <c r="C6" s="239" t="s">
        <v>247</v>
      </c>
      <c r="D6" s="223" t="s">
        <v>248</v>
      </c>
      <c r="E6" s="240">
        <v>45745.0</v>
      </c>
      <c r="F6" s="90"/>
      <c r="M6" s="241"/>
      <c r="N6" s="242"/>
      <c r="U6" s="237"/>
    </row>
    <row r="7" ht="22.5" customHeight="1">
      <c r="A7" s="221">
        <v>19350.0</v>
      </c>
      <c r="B7" s="225" t="s">
        <v>15</v>
      </c>
      <c r="C7" s="224" t="s">
        <v>249</v>
      </c>
      <c r="D7" s="223" t="s">
        <v>250</v>
      </c>
      <c r="E7" s="240">
        <v>45745.0</v>
      </c>
      <c r="F7" s="90"/>
      <c r="M7" s="174"/>
      <c r="N7" s="175"/>
      <c r="U7" s="237"/>
    </row>
    <row r="8" ht="22.5" customHeight="1">
      <c r="A8" s="221">
        <v>3299.0</v>
      </c>
      <c r="B8" s="225" t="s">
        <v>15</v>
      </c>
      <c r="C8" s="224" t="s">
        <v>251</v>
      </c>
      <c r="D8" s="223" t="s">
        <v>252</v>
      </c>
      <c r="E8" s="240">
        <v>45745.0</v>
      </c>
      <c r="F8" s="90"/>
      <c r="M8" s="241"/>
      <c r="N8" s="242"/>
      <c r="U8" s="237"/>
    </row>
    <row r="9" ht="22.5" customHeight="1">
      <c r="A9" s="221">
        <v>2908.0</v>
      </c>
      <c r="B9" s="225" t="s">
        <v>15</v>
      </c>
      <c r="C9" s="224" t="s">
        <v>251</v>
      </c>
      <c r="D9" s="223" t="s">
        <v>253</v>
      </c>
      <c r="E9" s="240">
        <v>45745.0</v>
      </c>
      <c r="F9" s="90"/>
      <c r="M9" s="241"/>
      <c r="N9" s="242"/>
      <c r="U9" s="237"/>
    </row>
    <row r="10" ht="22.5" customHeight="1">
      <c r="A10" s="221">
        <v>5800.0</v>
      </c>
      <c r="B10" s="225" t="s">
        <v>26</v>
      </c>
      <c r="C10" s="224" t="s">
        <v>251</v>
      </c>
      <c r="D10" s="223" t="s">
        <v>254</v>
      </c>
      <c r="E10" s="240">
        <v>45745.0</v>
      </c>
      <c r="F10" s="90"/>
      <c r="M10" s="241"/>
      <c r="N10" s="242"/>
      <c r="U10" s="237"/>
    </row>
    <row r="11" ht="22.5" customHeight="1">
      <c r="A11" s="221">
        <v>35.8</v>
      </c>
      <c r="B11" s="225" t="s">
        <v>15</v>
      </c>
      <c r="C11" s="224" t="s">
        <v>125</v>
      </c>
      <c r="D11" s="226"/>
      <c r="E11" s="240">
        <v>45745.0</v>
      </c>
      <c r="F11" s="90"/>
      <c r="M11" s="174"/>
      <c r="N11" s="174"/>
      <c r="U11" s="237"/>
    </row>
    <row r="12" ht="22.5" customHeight="1">
      <c r="A12" s="221">
        <v>16000.0</v>
      </c>
      <c r="B12" s="225" t="s">
        <v>15</v>
      </c>
      <c r="C12" s="224" t="s">
        <v>247</v>
      </c>
      <c r="D12" s="223" t="s">
        <v>255</v>
      </c>
      <c r="E12" s="240">
        <v>45745.0</v>
      </c>
      <c r="F12" s="90"/>
      <c r="M12" s="174"/>
      <c r="N12" s="175"/>
      <c r="U12" s="237"/>
    </row>
    <row r="13" ht="22.5" customHeight="1">
      <c r="A13" s="221">
        <v>1500.0</v>
      </c>
      <c r="B13" s="225" t="s">
        <v>26</v>
      </c>
      <c r="C13" s="224" t="s">
        <v>251</v>
      </c>
      <c r="D13" s="223" t="s">
        <v>256</v>
      </c>
      <c r="E13" s="240">
        <v>45745.0</v>
      </c>
      <c r="F13" s="90"/>
      <c r="M13" s="174"/>
      <c r="N13" s="175"/>
      <c r="U13" s="237"/>
    </row>
    <row r="14" ht="22.5" customHeight="1">
      <c r="A14" s="221">
        <v>3500.0</v>
      </c>
      <c r="B14" s="225" t="s">
        <v>26</v>
      </c>
      <c r="C14" s="224" t="s">
        <v>251</v>
      </c>
      <c r="D14" s="223" t="s">
        <v>257</v>
      </c>
      <c r="E14" s="240">
        <v>45745.0</v>
      </c>
      <c r="F14" s="90"/>
      <c r="U14" s="237"/>
    </row>
    <row r="15" ht="22.5" customHeight="1">
      <c r="A15" s="221">
        <v>1900.0</v>
      </c>
      <c r="B15" s="225" t="s">
        <v>26</v>
      </c>
      <c r="C15" s="224" t="s">
        <v>251</v>
      </c>
      <c r="D15" s="223" t="s">
        <v>258</v>
      </c>
      <c r="E15" s="240">
        <v>45745.0</v>
      </c>
      <c r="F15" s="90"/>
      <c r="U15" s="237"/>
    </row>
    <row r="16" ht="22.5" customHeight="1">
      <c r="A16" s="243">
        <v>1000.0</v>
      </c>
      <c r="B16" s="244" t="s">
        <v>26</v>
      </c>
      <c r="C16" s="245" t="s">
        <v>251</v>
      </c>
      <c r="D16" s="246" t="s">
        <v>259</v>
      </c>
      <c r="E16" s="240">
        <v>45745.0</v>
      </c>
      <c r="F16" s="90"/>
      <c r="U16" s="237"/>
    </row>
    <row r="17" ht="22.5" customHeight="1">
      <c r="A17" s="221">
        <v>30000.0</v>
      </c>
      <c r="B17" s="225" t="s">
        <v>15</v>
      </c>
      <c r="C17" s="224" t="s">
        <v>260</v>
      </c>
      <c r="D17" s="223" t="s">
        <v>261</v>
      </c>
      <c r="E17" s="240">
        <v>45745.0</v>
      </c>
      <c r="F17" s="90"/>
      <c r="U17" s="237"/>
    </row>
    <row r="18" ht="22.5" customHeight="1">
      <c r="A18" s="221">
        <v>39250.0</v>
      </c>
      <c r="B18" s="225" t="s">
        <v>15</v>
      </c>
      <c r="C18" s="224" t="s">
        <v>249</v>
      </c>
      <c r="D18" s="223" t="s">
        <v>67</v>
      </c>
      <c r="E18" s="240">
        <v>45745.0</v>
      </c>
      <c r="F18" s="90"/>
      <c r="U18" s="237"/>
    </row>
    <row r="19" ht="22.5" customHeight="1">
      <c r="A19" s="221">
        <v>5009.0</v>
      </c>
      <c r="B19" s="225" t="s">
        <v>15</v>
      </c>
      <c r="C19" s="224" t="s">
        <v>251</v>
      </c>
      <c r="D19" s="223" t="s">
        <v>262</v>
      </c>
      <c r="E19" s="240">
        <v>45745.0</v>
      </c>
      <c r="F19" s="90"/>
      <c r="U19" s="237"/>
    </row>
    <row r="20" ht="22.5" customHeight="1">
      <c r="A20" s="221">
        <v>1300.0</v>
      </c>
      <c r="B20" s="225" t="s">
        <v>26</v>
      </c>
      <c r="C20" s="224" t="s">
        <v>251</v>
      </c>
      <c r="D20" s="223" t="s">
        <v>263</v>
      </c>
      <c r="E20" s="240">
        <v>45745.0</v>
      </c>
      <c r="F20" s="90"/>
      <c r="U20" s="237"/>
    </row>
    <row r="21" ht="22.5" customHeight="1">
      <c r="A21" s="221">
        <v>1800.0</v>
      </c>
      <c r="B21" s="225" t="s">
        <v>26</v>
      </c>
      <c r="C21" s="224" t="s">
        <v>264</v>
      </c>
      <c r="D21" s="223" t="s">
        <v>265</v>
      </c>
      <c r="E21" s="240">
        <v>45745.0</v>
      </c>
      <c r="F21" s="90"/>
      <c r="U21" s="237"/>
    </row>
    <row r="22" ht="22.5" customHeight="1">
      <c r="A22" s="221">
        <v>15300.0</v>
      </c>
      <c r="B22" s="225" t="s">
        <v>26</v>
      </c>
      <c r="C22" s="224" t="s">
        <v>125</v>
      </c>
      <c r="D22" s="223" t="s">
        <v>266</v>
      </c>
      <c r="E22" s="240">
        <v>45745.0</v>
      </c>
      <c r="F22" s="90"/>
      <c r="U22" s="237"/>
    </row>
    <row r="23" ht="22.5" customHeight="1">
      <c r="A23" s="221">
        <v>100000.0</v>
      </c>
      <c r="B23" s="225" t="s">
        <v>15</v>
      </c>
      <c r="C23" s="224" t="s">
        <v>260</v>
      </c>
      <c r="D23" s="223" t="s">
        <v>267</v>
      </c>
      <c r="E23" s="240">
        <v>45745.0</v>
      </c>
      <c r="F23" s="90"/>
      <c r="U23" s="237"/>
    </row>
    <row r="24" ht="22.5" customHeight="1">
      <c r="A24" s="221">
        <v>600.0</v>
      </c>
      <c r="B24" s="225" t="s">
        <v>26</v>
      </c>
      <c r="C24" s="224" t="s">
        <v>125</v>
      </c>
      <c r="D24" s="223" t="s">
        <v>268</v>
      </c>
      <c r="E24" s="240">
        <v>45745.0</v>
      </c>
      <c r="F24" s="90"/>
      <c r="U24" s="237"/>
    </row>
    <row r="25" ht="22.5" customHeight="1">
      <c r="A25" s="221">
        <v>27150.0</v>
      </c>
      <c r="B25" s="225" t="s">
        <v>15</v>
      </c>
      <c r="C25" s="224" t="s">
        <v>269</v>
      </c>
      <c r="D25" s="223" t="s">
        <v>270</v>
      </c>
      <c r="E25" s="240">
        <v>45745.0</v>
      </c>
      <c r="F25" s="90"/>
      <c r="U25" s="237"/>
    </row>
    <row r="26" ht="22.5" customHeight="1">
      <c r="A26" s="221">
        <v>431.82</v>
      </c>
      <c r="B26" s="225" t="s">
        <v>15</v>
      </c>
      <c r="C26" s="224" t="s">
        <v>125</v>
      </c>
      <c r="D26" s="223" t="s">
        <v>271</v>
      </c>
      <c r="E26" s="240">
        <v>45745.0</v>
      </c>
      <c r="F26" s="90"/>
      <c r="U26" s="237"/>
    </row>
    <row r="27" ht="22.5" customHeight="1">
      <c r="A27" s="247">
        <v>1500.0</v>
      </c>
      <c r="B27" s="248" t="s">
        <v>26</v>
      </c>
      <c r="C27" s="249" t="s">
        <v>251</v>
      </c>
      <c r="D27" s="250" t="s">
        <v>45</v>
      </c>
      <c r="E27" s="251">
        <v>45754.0</v>
      </c>
      <c r="F27" s="90"/>
      <c r="U27" s="237"/>
    </row>
    <row r="28" ht="22.5" customHeight="1">
      <c r="A28" s="221">
        <v>6500.0</v>
      </c>
      <c r="B28" s="225" t="s">
        <v>26</v>
      </c>
      <c r="C28" s="224" t="s">
        <v>272</v>
      </c>
      <c r="D28" s="223" t="s">
        <v>273</v>
      </c>
      <c r="E28" s="240">
        <v>45755.0</v>
      </c>
      <c r="F28" s="90"/>
      <c r="U28" s="237"/>
    </row>
    <row r="29" ht="22.5" customHeight="1">
      <c r="A29" s="221">
        <v>3500.0</v>
      </c>
      <c r="B29" s="225" t="s">
        <v>26</v>
      </c>
      <c r="C29" s="224" t="s">
        <v>274</v>
      </c>
      <c r="D29" s="226"/>
      <c r="E29" s="240">
        <v>45755.0</v>
      </c>
      <c r="F29" s="90"/>
      <c r="U29" s="237"/>
    </row>
    <row r="30" ht="22.5" customHeight="1">
      <c r="A30" s="221">
        <v>12915.43</v>
      </c>
      <c r="B30" s="225" t="s">
        <v>15</v>
      </c>
      <c r="C30" s="224" t="s">
        <v>245</v>
      </c>
      <c r="D30" s="223" t="s">
        <v>275</v>
      </c>
      <c r="E30" s="240">
        <v>45756.0</v>
      </c>
      <c r="F30" s="90"/>
      <c r="U30" s="237"/>
    </row>
    <row r="31" ht="22.5" customHeight="1">
      <c r="A31" s="221">
        <v>4000.0</v>
      </c>
      <c r="B31" s="225" t="s">
        <v>26</v>
      </c>
      <c r="C31" s="224" t="s">
        <v>251</v>
      </c>
      <c r="D31" s="223" t="s">
        <v>276</v>
      </c>
      <c r="E31" s="240">
        <v>45756.0</v>
      </c>
      <c r="F31" s="90"/>
      <c r="U31" s="237"/>
    </row>
    <row r="32" ht="22.5" customHeight="1">
      <c r="A32" s="221">
        <v>1000.0</v>
      </c>
      <c r="B32" s="225" t="s">
        <v>26</v>
      </c>
      <c r="C32" s="224" t="s">
        <v>251</v>
      </c>
      <c r="D32" s="223" t="s">
        <v>277</v>
      </c>
      <c r="E32" s="240">
        <v>45756.0</v>
      </c>
      <c r="F32" s="90"/>
      <c r="U32" s="237"/>
    </row>
    <row r="33" ht="22.5" customHeight="1">
      <c r="A33" s="221">
        <v>1500.0</v>
      </c>
      <c r="B33" s="225" t="s">
        <v>26</v>
      </c>
      <c r="C33" s="224" t="s">
        <v>251</v>
      </c>
      <c r="D33" s="223" t="s">
        <v>45</v>
      </c>
      <c r="E33" s="240">
        <v>45757.0</v>
      </c>
      <c r="F33" s="90"/>
      <c r="U33" s="237"/>
    </row>
    <row r="34" ht="22.5" customHeight="1">
      <c r="A34" s="221">
        <v>301408.59</v>
      </c>
      <c r="B34" s="225" t="s">
        <v>15</v>
      </c>
      <c r="C34" s="224" t="s">
        <v>244</v>
      </c>
      <c r="D34" s="226"/>
      <c r="E34" s="240">
        <v>45757.0</v>
      </c>
      <c r="F34" s="90"/>
      <c r="U34" s="237"/>
    </row>
    <row r="35" ht="22.5" customHeight="1">
      <c r="A35" s="221">
        <v>10000.0</v>
      </c>
      <c r="B35" s="225" t="s">
        <v>15</v>
      </c>
      <c r="C35" s="224" t="s">
        <v>274</v>
      </c>
      <c r="D35" s="226"/>
      <c r="E35" s="240">
        <v>45758.0</v>
      </c>
      <c r="F35" s="90"/>
      <c r="U35" s="237"/>
    </row>
    <row r="36" ht="22.5" customHeight="1">
      <c r="A36" s="221">
        <v>21500.0</v>
      </c>
      <c r="B36" s="225" t="s">
        <v>15</v>
      </c>
      <c r="C36" s="224" t="s">
        <v>249</v>
      </c>
      <c r="D36" s="226"/>
      <c r="E36" s="240">
        <v>45758.0</v>
      </c>
      <c r="F36" s="90"/>
      <c r="U36" s="237"/>
    </row>
    <row r="37" ht="22.5" customHeight="1">
      <c r="A37" s="221">
        <v>26600.0</v>
      </c>
      <c r="B37" s="225" t="s">
        <v>15</v>
      </c>
      <c r="C37" s="224" t="s">
        <v>269</v>
      </c>
      <c r="D37" s="223" t="s">
        <v>278</v>
      </c>
      <c r="E37" s="240">
        <v>45759.0</v>
      </c>
      <c r="F37" s="90"/>
      <c r="U37" s="237"/>
    </row>
    <row r="38" ht="22.5" customHeight="1">
      <c r="A38" s="252">
        <v>5000.0</v>
      </c>
      <c r="B38" s="244" t="s">
        <v>26</v>
      </c>
      <c r="C38" s="253" t="s">
        <v>251</v>
      </c>
      <c r="D38" s="246" t="s">
        <v>279</v>
      </c>
      <c r="E38" s="254">
        <v>45761.0</v>
      </c>
      <c r="F38" s="90"/>
      <c r="U38" s="237"/>
    </row>
    <row r="39" ht="22.5" customHeight="1">
      <c r="A39" s="221">
        <v>2000.0</v>
      </c>
      <c r="B39" s="225" t="s">
        <v>26</v>
      </c>
      <c r="C39" s="224" t="s">
        <v>251</v>
      </c>
      <c r="D39" s="223" t="s">
        <v>280</v>
      </c>
      <c r="E39" s="240">
        <v>45764.0</v>
      </c>
      <c r="F39" s="90"/>
      <c r="U39" s="237"/>
    </row>
    <row r="40" ht="22.5" customHeight="1">
      <c r="A40" s="221">
        <v>17800.0</v>
      </c>
      <c r="B40" s="225" t="s">
        <v>26</v>
      </c>
      <c r="C40" s="224" t="s">
        <v>125</v>
      </c>
      <c r="D40" s="223" t="s">
        <v>281</v>
      </c>
      <c r="E40" s="240">
        <v>45766.0</v>
      </c>
      <c r="F40" s="90"/>
      <c r="U40" s="237"/>
    </row>
    <row r="41" ht="22.5" customHeight="1">
      <c r="A41" s="221">
        <v>7000.0</v>
      </c>
      <c r="B41" s="225" t="s">
        <v>15</v>
      </c>
      <c r="C41" s="224" t="s">
        <v>251</v>
      </c>
      <c r="D41" s="223" t="s">
        <v>282</v>
      </c>
      <c r="E41" s="240">
        <v>45766.0</v>
      </c>
      <c r="F41" s="90"/>
      <c r="U41" s="237"/>
    </row>
    <row r="42" ht="22.5" customHeight="1">
      <c r="A42" s="221">
        <v>2600.0</v>
      </c>
      <c r="B42" s="225" t="s">
        <v>15</v>
      </c>
      <c r="C42" s="224" t="s">
        <v>251</v>
      </c>
      <c r="D42" s="223" t="s">
        <v>283</v>
      </c>
      <c r="E42" s="240">
        <v>45766.0</v>
      </c>
      <c r="F42" s="90"/>
      <c r="U42" s="237"/>
    </row>
    <row r="43" ht="22.5" customHeight="1">
      <c r="A43" s="221">
        <v>3500.0</v>
      </c>
      <c r="B43" s="225" t="s">
        <v>15</v>
      </c>
      <c r="C43" s="224" t="s">
        <v>251</v>
      </c>
      <c r="D43" s="223" t="s">
        <v>284</v>
      </c>
      <c r="E43" s="240">
        <v>45766.0</v>
      </c>
      <c r="F43" s="90"/>
      <c r="U43" s="237"/>
    </row>
    <row r="44" ht="22.5" customHeight="1">
      <c r="A44" s="255">
        <v>1539.0</v>
      </c>
      <c r="B44" s="256" t="s">
        <v>15</v>
      </c>
      <c r="C44" s="257" t="s">
        <v>251</v>
      </c>
      <c r="D44" s="258" t="s">
        <v>285</v>
      </c>
      <c r="E44" s="259">
        <v>45768.0</v>
      </c>
      <c r="F44" s="90"/>
      <c r="U44" s="237"/>
    </row>
    <row r="45" ht="22.5" customHeight="1">
      <c r="A45" s="260">
        <v>5150.0</v>
      </c>
      <c r="B45" s="261" t="s">
        <v>26</v>
      </c>
      <c r="C45" s="262" t="s">
        <v>251</v>
      </c>
      <c r="D45" s="263" t="s">
        <v>286</v>
      </c>
      <c r="E45" s="264">
        <v>45769.0</v>
      </c>
      <c r="F45" s="90"/>
      <c r="U45" s="237"/>
    </row>
    <row r="46" ht="22.5" customHeight="1">
      <c r="A46" s="265">
        <v>1850.0</v>
      </c>
      <c r="B46" s="266" t="s">
        <v>15</v>
      </c>
      <c r="C46" s="267" t="s">
        <v>251</v>
      </c>
      <c r="D46" s="268" t="s">
        <v>287</v>
      </c>
      <c r="E46" s="269">
        <v>45770.0</v>
      </c>
      <c r="F46" s="90"/>
      <c r="U46" s="237"/>
    </row>
    <row r="47" ht="22.5" customHeight="1">
      <c r="A47" s="221">
        <v>50000.0</v>
      </c>
      <c r="B47" s="225" t="s">
        <v>15</v>
      </c>
      <c r="C47" s="224" t="s">
        <v>269</v>
      </c>
      <c r="D47" s="223" t="s">
        <v>288</v>
      </c>
      <c r="E47" s="240">
        <v>45771.0</v>
      </c>
      <c r="F47" s="90"/>
      <c r="U47" s="237"/>
    </row>
    <row r="48" ht="22.5" customHeight="1">
      <c r="A48" s="221">
        <v>5000.0</v>
      </c>
      <c r="B48" s="225" t="s">
        <v>15</v>
      </c>
      <c r="C48" s="224" t="s">
        <v>251</v>
      </c>
      <c r="D48" s="223" t="s">
        <v>289</v>
      </c>
      <c r="E48" s="240">
        <v>45771.0</v>
      </c>
      <c r="F48" s="90"/>
      <c r="U48" s="237"/>
    </row>
    <row r="49" ht="22.5" customHeight="1">
      <c r="A49" s="221">
        <v>2400.0</v>
      </c>
      <c r="B49" s="225" t="s">
        <v>15</v>
      </c>
      <c r="C49" s="224" t="s">
        <v>251</v>
      </c>
      <c r="D49" s="223" t="s">
        <v>290</v>
      </c>
      <c r="E49" s="240">
        <v>45772.0</v>
      </c>
      <c r="F49" s="90"/>
      <c r="U49" s="237"/>
    </row>
    <row r="50" ht="22.5" customHeight="1">
      <c r="A50" s="221">
        <v>1000.0</v>
      </c>
      <c r="B50" s="225" t="s">
        <v>26</v>
      </c>
      <c r="C50" s="224" t="s">
        <v>291</v>
      </c>
      <c r="D50" s="223" t="s">
        <v>292</v>
      </c>
      <c r="E50" s="240">
        <v>45773.0</v>
      </c>
      <c r="F50" s="90"/>
      <c r="U50" s="237"/>
    </row>
    <row r="51" ht="22.5" customHeight="1">
      <c r="A51" s="221">
        <v>9045.97</v>
      </c>
      <c r="B51" s="225" t="s">
        <v>15</v>
      </c>
      <c r="C51" s="224" t="s">
        <v>274</v>
      </c>
      <c r="D51" s="226"/>
      <c r="E51" s="240">
        <v>45773.0</v>
      </c>
      <c r="F51" s="90"/>
      <c r="U51" s="237"/>
    </row>
    <row r="52" ht="22.5" customHeight="1">
      <c r="A52" s="221">
        <v>2200.0</v>
      </c>
      <c r="B52" s="225" t="s">
        <v>15</v>
      </c>
      <c r="C52" s="224" t="s">
        <v>251</v>
      </c>
      <c r="D52" s="223" t="s">
        <v>293</v>
      </c>
      <c r="E52" s="240">
        <v>45776.0</v>
      </c>
      <c r="F52" s="90"/>
      <c r="U52" s="237"/>
    </row>
    <row r="53" ht="22.5" customHeight="1">
      <c r="A53" s="221">
        <v>51800.0</v>
      </c>
      <c r="B53" s="225" t="s">
        <v>15</v>
      </c>
      <c r="C53" s="224" t="s">
        <v>269</v>
      </c>
      <c r="D53" s="223" t="s">
        <v>294</v>
      </c>
      <c r="E53" s="240">
        <v>45777.0</v>
      </c>
      <c r="F53" s="90"/>
      <c r="U53" s="237"/>
    </row>
    <row r="54" ht="22.5" customHeight="1">
      <c r="A54" s="221">
        <v>900.0</v>
      </c>
      <c r="B54" s="225" t="s">
        <v>15</v>
      </c>
      <c r="C54" s="224" t="s">
        <v>251</v>
      </c>
      <c r="D54" s="223" t="s">
        <v>295</v>
      </c>
      <c r="E54" s="240">
        <v>45777.0</v>
      </c>
      <c r="F54" s="90"/>
      <c r="U54" s="237"/>
    </row>
    <row r="55" ht="22.5" customHeight="1">
      <c r="A55" s="221">
        <v>9899.19</v>
      </c>
      <c r="B55" s="225" t="s">
        <v>15</v>
      </c>
      <c r="C55" s="224" t="s">
        <v>269</v>
      </c>
      <c r="D55" s="223" t="s">
        <v>296</v>
      </c>
      <c r="E55" s="240">
        <v>45777.0</v>
      </c>
      <c r="F55" s="90"/>
      <c r="U55" s="237"/>
    </row>
    <row r="56" ht="22.5" customHeight="1">
      <c r="A56" s="221">
        <v>5110.0</v>
      </c>
      <c r="B56" s="225" t="s">
        <v>15</v>
      </c>
      <c r="C56" s="224" t="s">
        <v>251</v>
      </c>
      <c r="D56" s="223" t="s">
        <v>297</v>
      </c>
      <c r="E56" s="240">
        <v>45777.0</v>
      </c>
      <c r="F56" s="90"/>
      <c r="U56" s="237"/>
    </row>
    <row r="57" ht="22.5" customHeight="1">
      <c r="A57" s="221">
        <v>6600.0</v>
      </c>
      <c r="B57" s="225" t="s">
        <v>15</v>
      </c>
      <c r="C57" s="224" t="s">
        <v>298</v>
      </c>
      <c r="D57" s="223" t="s">
        <v>299</v>
      </c>
      <c r="E57" s="240">
        <v>45777.0</v>
      </c>
      <c r="F57" s="90"/>
      <c r="U57" s="237"/>
    </row>
    <row r="58" ht="22.5" customHeight="1">
      <c r="A58" s="221">
        <v>700.0</v>
      </c>
      <c r="B58" s="225" t="s">
        <v>26</v>
      </c>
      <c r="C58" s="224" t="s">
        <v>298</v>
      </c>
      <c r="D58" s="223" t="s">
        <v>300</v>
      </c>
      <c r="E58" s="240">
        <v>45777.0</v>
      </c>
      <c r="F58" s="90"/>
      <c r="U58" s="237"/>
    </row>
    <row r="59" ht="22.5" customHeight="1">
      <c r="A59" s="247">
        <v>500.0</v>
      </c>
      <c r="B59" s="248" t="s">
        <v>15</v>
      </c>
      <c r="C59" s="249" t="s">
        <v>298</v>
      </c>
      <c r="D59" s="250" t="s">
        <v>301</v>
      </c>
      <c r="E59" s="251">
        <v>45779.0</v>
      </c>
      <c r="F59" s="90"/>
      <c r="U59" s="237"/>
    </row>
    <row r="60" ht="22.5" customHeight="1">
      <c r="A60" s="230">
        <v>10000.0</v>
      </c>
      <c r="B60" s="270" t="s">
        <v>15</v>
      </c>
      <c r="C60" s="231" t="s">
        <v>291</v>
      </c>
      <c r="D60" s="228" t="s">
        <v>302</v>
      </c>
      <c r="E60" s="240">
        <v>45779.0</v>
      </c>
      <c r="F60" s="90"/>
      <c r="U60" s="237"/>
    </row>
    <row r="61" ht="22.5" customHeight="1">
      <c r="A61" s="221">
        <v>1000.0</v>
      </c>
      <c r="B61" s="225" t="s">
        <v>15</v>
      </c>
      <c r="C61" s="224" t="s">
        <v>251</v>
      </c>
      <c r="D61" s="223" t="s">
        <v>259</v>
      </c>
      <c r="E61" s="240">
        <v>45779.0</v>
      </c>
      <c r="F61" s="90"/>
      <c r="U61" s="237"/>
    </row>
    <row r="62" ht="22.5" customHeight="1">
      <c r="A62" s="221">
        <v>5000.0</v>
      </c>
      <c r="B62" s="225" t="s">
        <v>15</v>
      </c>
      <c r="C62" s="224" t="s">
        <v>291</v>
      </c>
      <c r="D62" s="223" t="s">
        <v>303</v>
      </c>
      <c r="E62" s="240">
        <v>45779.0</v>
      </c>
      <c r="F62" s="90"/>
      <c r="U62" s="237"/>
    </row>
    <row r="63" ht="22.5" customHeight="1">
      <c r="A63" s="221">
        <v>400.0</v>
      </c>
      <c r="B63" s="225" t="s">
        <v>15</v>
      </c>
      <c r="C63" s="224" t="s">
        <v>251</v>
      </c>
      <c r="D63" s="223" t="s">
        <v>304</v>
      </c>
      <c r="E63" s="240">
        <v>45780.0</v>
      </c>
      <c r="F63" s="90"/>
      <c r="U63" s="237"/>
    </row>
    <row r="64" ht="22.5" customHeight="1">
      <c r="A64" s="221">
        <v>1400.0</v>
      </c>
      <c r="B64" s="225" t="s">
        <v>15</v>
      </c>
      <c r="C64" s="224" t="s">
        <v>251</v>
      </c>
      <c r="D64" s="223" t="s">
        <v>305</v>
      </c>
      <c r="E64" s="240">
        <v>45782.0</v>
      </c>
      <c r="F64" s="90"/>
      <c r="U64" s="237"/>
    </row>
    <row r="65" ht="22.5" customHeight="1">
      <c r="A65" s="221">
        <v>3500.0</v>
      </c>
      <c r="B65" s="225" t="s">
        <v>15</v>
      </c>
      <c r="C65" s="224" t="s">
        <v>298</v>
      </c>
      <c r="D65" s="223" t="s">
        <v>306</v>
      </c>
      <c r="E65" s="240">
        <v>45782.0</v>
      </c>
      <c r="F65" s="90"/>
      <c r="U65" s="237"/>
    </row>
    <row r="66" ht="22.5" customHeight="1">
      <c r="A66" s="221">
        <v>700.0</v>
      </c>
      <c r="B66" s="225" t="s">
        <v>26</v>
      </c>
      <c r="C66" s="224" t="s">
        <v>251</v>
      </c>
      <c r="D66" s="223" t="s">
        <v>277</v>
      </c>
      <c r="E66" s="240">
        <v>45783.0</v>
      </c>
      <c r="F66" s="90"/>
      <c r="U66" s="237"/>
    </row>
    <row r="67" ht="22.5" customHeight="1">
      <c r="A67" s="221">
        <v>1250.0</v>
      </c>
      <c r="B67" s="225" t="s">
        <v>15</v>
      </c>
      <c r="C67" s="224" t="s">
        <v>291</v>
      </c>
      <c r="D67" s="223" t="s">
        <v>307</v>
      </c>
      <c r="E67" s="240">
        <v>45783.0</v>
      </c>
      <c r="F67" s="90"/>
      <c r="U67" s="237"/>
    </row>
    <row r="68" ht="22.5" customHeight="1">
      <c r="A68" s="221">
        <v>7000.0</v>
      </c>
      <c r="B68" s="225" t="s">
        <v>15</v>
      </c>
      <c r="C68" s="224" t="s">
        <v>251</v>
      </c>
      <c r="D68" s="223" t="s">
        <v>282</v>
      </c>
      <c r="E68" s="240">
        <v>45783.0</v>
      </c>
      <c r="F68" s="90"/>
      <c r="U68" s="237"/>
    </row>
    <row r="69" ht="22.5" customHeight="1">
      <c r="A69" s="221">
        <v>12914.91</v>
      </c>
      <c r="B69" s="225" t="s">
        <v>15</v>
      </c>
      <c r="C69" s="224" t="s">
        <v>245</v>
      </c>
      <c r="D69" s="226"/>
      <c r="E69" s="240">
        <v>45784.0</v>
      </c>
      <c r="F69" s="90"/>
      <c r="U69" s="237"/>
    </row>
    <row r="70" ht="22.5" customHeight="1">
      <c r="A70" s="221">
        <v>2300.0</v>
      </c>
      <c r="B70" s="225" t="s">
        <v>15</v>
      </c>
      <c r="C70" s="224" t="s">
        <v>251</v>
      </c>
      <c r="D70" s="223" t="s">
        <v>293</v>
      </c>
      <c r="E70" s="240">
        <v>45785.0</v>
      </c>
      <c r="F70" s="90"/>
      <c r="U70" s="237"/>
    </row>
    <row r="71" ht="22.5" customHeight="1">
      <c r="A71" s="221">
        <v>1200.0</v>
      </c>
      <c r="B71" s="225" t="s">
        <v>15</v>
      </c>
      <c r="C71" s="224" t="s">
        <v>251</v>
      </c>
      <c r="D71" s="223" t="s">
        <v>308</v>
      </c>
      <c r="E71" s="240">
        <v>45786.0</v>
      </c>
      <c r="F71" s="90"/>
      <c r="U71" s="237"/>
    </row>
    <row r="72" ht="22.5" customHeight="1">
      <c r="A72" s="221">
        <v>1510.0</v>
      </c>
      <c r="B72" s="225" t="s">
        <v>15</v>
      </c>
      <c r="C72" s="224" t="s">
        <v>251</v>
      </c>
      <c r="D72" s="223" t="s">
        <v>309</v>
      </c>
      <c r="E72" s="240">
        <v>45787.0</v>
      </c>
      <c r="F72" s="90"/>
      <c r="U72" s="237"/>
    </row>
    <row r="73" ht="22.5" customHeight="1">
      <c r="A73" s="221">
        <v>1200.0</v>
      </c>
      <c r="B73" s="225" t="s">
        <v>15</v>
      </c>
      <c r="C73" s="224" t="s">
        <v>298</v>
      </c>
      <c r="D73" s="223" t="s">
        <v>310</v>
      </c>
      <c r="E73" s="240">
        <v>45787.0</v>
      </c>
      <c r="F73" s="90"/>
      <c r="U73" s="237"/>
    </row>
    <row r="74" ht="22.5" customHeight="1">
      <c r="A74" s="221">
        <v>303627.87</v>
      </c>
      <c r="B74" s="225" t="s">
        <v>15</v>
      </c>
      <c r="C74" s="224" t="s">
        <v>244</v>
      </c>
      <c r="D74" s="226"/>
      <c r="E74" s="240">
        <v>45787.0</v>
      </c>
      <c r="F74" s="90"/>
      <c r="U74" s="237"/>
    </row>
    <row r="75" ht="22.5" customHeight="1">
      <c r="A75" s="221">
        <v>5450.0</v>
      </c>
      <c r="B75" s="225" t="s">
        <v>15</v>
      </c>
      <c r="C75" s="224" t="s">
        <v>291</v>
      </c>
      <c r="D75" s="223" t="s">
        <v>311</v>
      </c>
      <c r="E75" s="240">
        <v>45788.0</v>
      </c>
      <c r="F75" s="90"/>
      <c r="U75" s="237"/>
    </row>
    <row r="76" ht="22.5" customHeight="1">
      <c r="A76" s="221">
        <v>3000.0</v>
      </c>
      <c r="B76" s="225" t="s">
        <v>15</v>
      </c>
      <c r="C76" s="224" t="s">
        <v>251</v>
      </c>
      <c r="D76" s="223" t="s">
        <v>312</v>
      </c>
      <c r="E76" s="240">
        <v>45788.0</v>
      </c>
      <c r="F76" s="90"/>
      <c r="U76" s="237"/>
    </row>
    <row r="77" ht="22.5" customHeight="1">
      <c r="A77" s="221">
        <v>2700.0</v>
      </c>
      <c r="B77" s="225" t="s">
        <v>15</v>
      </c>
      <c r="C77" s="224" t="s">
        <v>251</v>
      </c>
      <c r="D77" s="223" t="s">
        <v>313</v>
      </c>
      <c r="E77" s="240">
        <v>45788.0</v>
      </c>
      <c r="F77" s="90"/>
      <c r="U77" s="237"/>
    </row>
    <row r="78" ht="22.5" customHeight="1">
      <c r="A78" s="221">
        <v>55000.0</v>
      </c>
      <c r="B78" s="225" t="s">
        <v>15</v>
      </c>
      <c r="C78" s="224" t="s">
        <v>314</v>
      </c>
      <c r="D78" s="223" t="s">
        <v>315</v>
      </c>
      <c r="E78" s="240">
        <v>45788.0</v>
      </c>
      <c r="F78" s="90"/>
      <c r="U78" s="237"/>
    </row>
    <row r="79" ht="22.5" customHeight="1">
      <c r="A79" s="221">
        <v>5000.0</v>
      </c>
      <c r="B79" s="225" t="s">
        <v>15</v>
      </c>
      <c r="C79" s="224" t="s">
        <v>272</v>
      </c>
      <c r="D79" s="223" t="s">
        <v>316</v>
      </c>
      <c r="E79" s="240">
        <v>45791.0</v>
      </c>
      <c r="F79" s="90"/>
      <c r="U79" s="237"/>
    </row>
    <row r="80" ht="22.5" customHeight="1">
      <c r="A80" s="221">
        <v>3660.0</v>
      </c>
      <c r="B80" s="225" t="s">
        <v>15</v>
      </c>
      <c r="C80" s="224" t="s">
        <v>291</v>
      </c>
      <c r="D80" s="223" t="s">
        <v>317</v>
      </c>
      <c r="E80" s="240">
        <v>45791.0</v>
      </c>
      <c r="F80" s="90"/>
      <c r="U80" s="237"/>
    </row>
    <row r="81" ht="22.5" customHeight="1">
      <c r="A81" s="221">
        <v>800.0</v>
      </c>
      <c r="B81" s="225" t="s">
        <v>15</v>
      </c>
      <c r="C81" s="224" t="s">
        <v>269</v>
      </c>
      <c r="D81" s="223" t="s">
        <v>318</v>
      </c>
      <c r="E81" s="240">
        <v>45792.0</v>
      </c>
      <c r="F81" s="90"/>
      <c r="U81" s="237"/>
    </row>
    <row r="82" ht="22.5" customHeight="1">
      <c r="A82" s="221">
        <v>1000.0</v>
      </c>
      <c r="B82" s="225" t="s">
        <v>15</v>
      </c>
      <c r="C82" s="224" t="s">
        <v>251</v>
      </c>
      <c r="D82" s="223" t="s">
        <v>259</v>
      </c>
      <c r="E82" s="240">
        <v>45792.0</v>
      </c>
      <c r="F82" s="90"/>
      <c r="U82" s="237"/>
    </row>
    <row r="83" ht="22.5" customHeight="1">
      <c r="A83" s="221">
        <v>5000.0</v>
      </c>
      <c r="B83" s="225" t="s">
        <v>15</v>
      </c>
      <c r="C83" s="224" t="s">
        <v>251</v>
      </c>
      <c r="D83" s="223" t="s">
        <v>289</v>
      </c>
      <c r="E83" s="240">
        <v>45792.0</v>
      </c>
      <c r="F83" s="90"/>
      <c r="U83" s="237"/>
    </row>
    <row r="84" ht="22.5" customHeight="1">
      <c r="A84" s="221">
        <v>3000.0</v>
      </c>
      <c r="B84" s="225" t="s">
        <v>15</v>
      </c>
      <c r="C84" s="224" t="s">
        <v>251</v>
      </c>
      <c r="D84" s="223" t="s">
        <v>257</v>
      </c>
      <c r="E84" s="240">
        <v>45793.0</v>
      </c>
      <c r="F84" s="90"/>
      <c r="U84" s="237"/>
    </row>
    <row r="85" ht="22.5" customHeight="1">
      <c r="A85" s="221">
        <v>4000.0</v>
      </c>
      <c r="B85" s="225" t="s">
        <v>15</v>
      </c>
      <c r="C85" s="224" t="s">
        <v>251</v>
      </c>
      <c r="D85" s="223" t="s">
        <v>319</v>
      </c>
      <c r="E85" s="240">
        <v>45795.0</v>
      </c>
      <c r="F85" s="90"/>
      <c r="U85" s="237"/>
    </row>
    <row r="86" ht="22.5" customHeight="1">
      <c r="A86" s="221">
        <v>850.0</v>
      </c>
      <c r="B86" s="225" t="s">
        <v>26</v>
      </c>
      <c r="C86" s="224" t="s">
        <v>125</v>
      </c>
      <c r="D86" s="226"/>
      <c r="E86" s="240">
        <v>45796.0</v>
      </c>
      <c r="F86" s="90"/>
      <c r="U86" s="237"/>
    </row>
    <row r="87" ht="22.5" customHeight="1">
      <c r="A87" s="221">
        <v>1000.0</v>
      </c>
      <c r="B87" s="225" t="s">
        <v>15</v>
      </c>
      <c r="C87" s="224" t="s">
        <v>320</v>
      </c>
      <c r="D87" s="223" t="s">
        <v>321</v>
      </c>
      <c r="E87" s="240">
        <v>45796.0</v>
      </c>
      <c r="F87" s="90"/>
      <c r="U87" s="237"/>
    </row>
    <row r="88" ht="22.5" customHeight="1">
      <c r="A88" s="252">
        <v>24000.0</v>
      </c>
      <c r="B88" s="271" t="s">
        <v>15</v>
      </c>
      <c r="C88" s="272" t="s">
        <v>249</v>
      </c>
      <c r="D88" s="226"/>
      <c r="E88" s="240">
        <v>45796.0</v>
      </c>
      <c r="F88" s="90"/>
      <c r="U88" s="237"/>
    </row>
    <row r="89" ht="22.5" customHeight="1">
      <c r="A89" s="221">
        <v>1000.0</v>
      </c>
      <c r="B89" s="225" t="s">
        <v>15</v>
      </c>
      <c r="C89" s="224" t="s">
        <v>320</v>
      </c>
      <c r="D89" s="223" t="s">
        <v>321</v>
      </c>
      <c r="E89" s="240">
        <v>45797.0</v>
      </c>
      <c r="F89" s="90"/>
      <c r="U89" s="237"/>
    </row>
    <row r="90" ht="22.5" customHeight="1">
      <c r="A90" s="221">
        <v>2700.0</v>
      </c>
      <c r="B90" s="225" t="s">
        <v>15</v>
      </c>
      <c r="C90" s="224" t="s">
        <v>322</v>
      </c>
      <c r="D90" s="223" t="s">
        <v>323</v>
      </c>
      <c r="E90" s="240">
        <v>45797.0</v>
      </c>
      <c r="F90" s="90"/>
      <c r="U90" s="237"/>
    </row>
    <row r="91" ht="22.5" customHeight="1">
      <c r="A91" s="221">
        <v>800.0</v>
      </c>
      <c r="B91" s="225" t="s">
        <v>15</v>
      </c>
      <c r="C91" s="224" t="s">
        <v>272</v>
      </c>
      <c r="D91" s="223" t="s">
        <v>324</v>
      </c>
      <c r="E91" s="240">
        <v>45798.0</v>
      </c>
      <c r="F91" s="90"/>
      <c r="U91" s="237"/>
    </row>
    <row r="92" ht="22.5" customHeight="1">
      <c r="A92" s="221">
        <v>1700.0</v>
      </c>
      <c r="B92" s="225" t="s">
        <v>15</v>
      </c>
      <c r="C92" s="224" t="s">
        <v>251</v>
      </c>
      <c r="D92" s="223" t="s">
        <v>325</v>
      </c>
      <c r="E92" s="240">
        <v>45799.0</v>
      </c>
      <c r="F92" s="90"/>
      <c r="U92" s="237"/>
    </row>
    <row r="93" ht="22.5" customHeight="1">
      <c r="A93" s="221">
        <v>500.0</v>
      </c>
      <c r="B93" s="225" t="s">
        <v>15</v>
      </c>
      <c r="C93" s="224" t="s">
        <v>264</v>
      </c>
      <c r="D93" s="223" t="s">
        <v>326</v>
      </c>
      <c r="E93" s="240">
        <v>45799.0</v>
      </c>
      <c r="F93" s="90"/>
      <c r="U93" s="237"/>
    </row>
    <row r="94" ht="22.5" customHeight="1">
      <c r="A94" s="221">
        <v>828.65</v>
      </c>
      <c r="B94" s="225" t="s">
        <v>15</v>
      </c>
      <c r="C94" s="224" t="s">
        <v>125</v>
      </c>
      <c r="D94" s="226"/>
      <c r="E94" s="240">
        <v>45807.0</v>
      </c>
      <c r="F94" s="90"/>
      <c r="U94" s="237"/>
    </row>
    <row r="95" ht="22.5" customHeight="1">
      <c r="A95" s="247">
        <v>6099.0</v>
      </c>
      <c r="B95" s="248" t="s">
        <v>15</v>
      </c>
      <c r="C95" s="249" t="s">
        <v>269</v>
      </c>
      <c r="D95" s="250" t="s">
        <v>327</v>
      </c>
      <c r="E95" s="251">
        <v>45812.0</v>
      </c>
      <c r="F95" s="90"/>
      <c r="U95" s="237"/>
    </row>
    <row r="96" ht="22.5" customHeight="1">
      <c r="A96" s="221">
        <v>2320.0</v>
      </c>
      <c r="B96" s="225" t="s">
        <v>15</v>
      </c>
      <c r="C96" s="224" t="s">
        <v>251</v>
      </c>
      <c r="D96" s="223" t="s">
        <v>293</v>
      </c>
      <c r="E96" s="240">
        <v>45814.0</v>
      </c>
      <c r="F96" s="90"/>
      <c r="U96" s="237"/>
    </row>
    <row r="97" ht="22.5" customHeight="1">
      <c r="A97" s="221">
        <v>10611.63</v>
      </c>
      <c r="B97" s="225" t="s">
        <v>15</v>
      </c>
      <c r="C97" s="224" t="s">
        <v>245</v>
      </c>
      <c r="D97" s="226"/>
      <c r="E97" s="240">
        <v>45815.0</v>
      </c>
      <c r="F97" s="90"/>
      <c r="U97" s="237"/>
    </row>
    <row r="98" ht="22.5" customHeight="1">
      <c r="A98" s="221">
        <v>2600.0</v>
      </c>
      <c r="B98" s="225" t="s">
        <v>15</v>
      </c>
      <c r="C98" s="224" t="s">
        <v>264</v>
      </c>
      <c r="D98" s="223" t="s">
        <v>328</v>
      </c>
      <c r="E98" s="240">
        <v>45815.0</v>
      </c>
      <c r="F98" s="90"/>
      <c r="U98" s="237"/>
    </row>
    <row r="99" ht="22.5" customHeight="1">
      <c r="A99" s="221">
        <v>900.0</v>
      </c>
      <c r="B99" s="225" t="s">
        <v>15</v>
      </c>
      <c r="C99" s="224" t="s">
        <v>251</v>
      </c>
      <c r="D99" s="223" t="s">
        <v>295</v>
      </c>
      <c r="E99" s="240">
        <v>45815.0</v>
      </c>
      <c r="F99" s="90"/>
      <c r="U99" s="237"/>
    </row>
    <row r="100" ht="22.5" customHeight="1">
      <c r="A100" s="221">
        <v>770.0</v>
      </c>
      <c r="B100" s="225" t="s">
        <v>15</v>
      </c>
      <c r="C100" s="224" t="s">
        <v>251</v>
      </c>
      <c r="D100" s="223" t="s">
        <v>329</v>
      </c>
      <c r="E100" s="240">
        <v>45815.0</v>
      </c>
      <c r="F100" s="90"/>
      <c r="U100" s="237"/>
    </row>
    <row r="101" ht="22.5" customHeight="1">
      <c r="A101" s="221">
        <v>7000.0</v>
      </c>
      <c r="B101" s="225" t="s">
        <v>15</v>
      </c>
      <c r="C101" s="224" t="s">
        <v>251</v>
      </c>
      <c r="D101" s="223" t="s">
        <v>330</v>
      </c>
      <c r="E101" s="240">
        <v>45815.0</v>
      </c>
      <c r="F101" s="90"/>
      <c r="U101" s="237"/>
    </row>
    <row r="102" ht="22.5" customHeight="1">
      <c r="A102" s="221">
        <v>900.0</v>
      </c>
      <c r="B102" s="225" t="s">
        <v>15</v>
      </c>
      <c r="C102" s="224" t="s">
        <v>264</v>
      </c>
      <c r="D102" s="223" t="s">
        <v>331</v>
      </c>
      <c r="E102" s="240">
        <v>45815.0</v>
      </c>
      <c r="F102" s="90"/>
      <c r="U102" s="237"/>
    </row>
    <row r="103" ht="22.5" customHeight="1">
      <c r="A103" s="221">
        <v>400.0</v>
      </c>
      <c r="B103" s="225" t="s">
        <v>15</v>
      </c>
      <c r="C103" s="224" t="s">
        <v>272</v>
      </c>
      <c r="D103" s="223" t="s">
        <v>332</v>
      </c>
      <c r="E103" s="240">
        <v>45815.0</v>
      </c>
      <c r="F103" s="90"/>
      <c r="U103" s="237"/>
    </row>
    <row r="104" ht="22.5" customHeight="1">
      <c r="A104" s="221">
        <v>1700.0</v>
      </c>
      <c r="B104" s="225" t="s">
        <v>15</v>
      </c>
      <c r="C104" s="224" t="s">
        <v>251</v>
      </c>
      <c r="D104" s="223" t="s">
        <v>293</v>
      </c>
      <c r="E104" s="240">
        <v>45817.0</v>
      </c>
      <c r="F104" s="90"/>
      <c r="U104" s="237"/>
    </row>
    <row r="105" ht="22.5" customHeight="1">
      <c r="A105" s="221">
        <v>3600.0</v>
      </c>
      <c r="B105" s="225" t="s">
        <v>15</v>
      </c>
      <c r="C105" s="224" t="s">
        <v>291</v>
      </c>
      <c r="D105" s="223" t="s">
        <v>333</v>
      </c>
      <c r="E105" s="240">
        <v>45818.0</v>
      </c>
      <c r="F105" s="90"/>
      <c r="U105" s="237"/>
    </row>
    <row r="106" ht="22.5" customHeight="1">
      <c r="A106" s="221">
        <v>1900.0</v>
      </c>
      <c r="B106" s="225" t="s">
        <v>15</v>
      </c>
      <c r="C106" s="224" t="s">
        <v>251</v>
      </c>
      <c r="D106" s="223" t="s">
        <v>334</v>
      </c>
      <c r="E106" s="240">
        <v>45819.0</v>
      </c>
      <c r="F106" s="90"/>
      <c r="U106" s="237"/>
    </row>
    <row r="107" ht="22.5" customHeight="1">
      <c r="A107" s="221">
        <v>700.0</v>
      </c>
      <c r="B107" s="225" t="s">
        <v>15</v>
      </c>
      <c r="C107" s="224" t="s">
        <v>251</v>
      </c>
      <c r="D107" s="223" t="s">
        <v>329</v>
      </c>
      <c r="E107" s="240">
        <v>45819.0</v>
      </c>
      <c r="F107" s="90"/>
      <c r="U107" s="237"/>
    </row>
    <row r="108" ht="22.5" customHeight="1">
      <c r="A108" s="252">
        <v>59.87</v>
      </c>
      <c r="B108" s="271" t="s">
        <v>15</v>
      </c>
      <c r="C108" s="273"/>
      <c r="D108" s="246" t="s">
        <v>335</v>
      </c>
      <c r="E108" s="254">
        <v>45819.0</v>
      </c>
      <c r="F108" s="90"/>
      <c r="U108" s="237"/>
    </row>
    <row r="109" ht="22.5" customHeight="1">
      <c r="A109" s="221">
        <v>305319.14</v>
      </c>
      <c r="B109" s="225" t="s">
        <v>15</v>
      </c>
      <c r="C109" s="224" t="s">
        <v>244</v>
      </c>
      <c r="D109" s="226"/>
      <c r="E109" s="240">
        <v>45819.0</v>
      </c>
      <c r="F109" s="90"/>
      <c r="U109" s="237"/>
    </row>
    <row r="110" ht="22.5" customHeight="1">
      <c r="A110" s="230">
        <v>63986.5</v>
      </c>
      <c r="B110" s="225" t="s">
        <v>15</v>
      </c>
      <c r="C110" s="224" t="s">
        <v>314</v>
      </c>
      <c r="D110" s="223" t="s">
        <v>336</v>
      </c>
      <c r="E110" s="240">
        <v>45819.0</v>
      </c>
      <c r="F110" s="90"/>
      <c r="U110" s="237"/>
    </row>
    <row r="111" ht="22.5" customHeight="1">
      <c r="A111" s="221">
        <v>24000.0</v>
      </c>
      <c r="B111" s="225" t="s">
        <v>15</v>
      </c>
      <c r="C111" s="224" t="s">
        <v>249</v>
      </c>
      <c r="D111" s="226"/>
      <c r="E111" s="240">
        <v>45819.0</v>
      </c>
      <c r="F111" s="90"/>
      <c r="U111" s="237"/>
    </row>
    <row r="112" ht="22.5" customHeight="1">
      <c r="A112" s="221">
        <v>1800.0</v>
      </c>
      <c r="B112" s="225" t="s">
        <v>15</v>
      </c>
      <c r="C112" s="224" t="s">
        <v>251</v>
      </c>
      <c r="D112" s="223" t="s">
        <v>283</v>
      </c>
      <c r="E112" s="240">
        <v>45820.0</v>
      </c>
      <c r="F112" s="90"/>
      <c r="U112" s="237"/>
    </row>
    <row r="113" ht="22.5" customHeight="1">
      <c r="A113" s="221">
        <v>1800.0</v>
      </c>
      <c r="B113" s="225" t="s">
        <v>15</v>
      </c>
      <c r="C113" s="224" t="s">
        <v>251</v>
      </c>
      <c r="D113" s="223" t="s">
        <v>337</v>
      </c>
      <c r="E113" s="240">
        <v>45821.0</v>
      </c>
      <c r="F113" s="90"/>
      <c r="U113" s="237"/>
    </row>
    <row r="114" ht="22.5" customHeight="1">
      <c r="A114" s="221">
        <v>1000.0</v>
      </c>
      <c r="B114" s="225" t="s">
        <v>15</v>
      </c>
      <c r="C114" s="224" t="s">
        <v>251</v>
      </c>
      <c r="D114" s="223" t="s">
        <v>338</v>
      </c>
      <c r="E114" s="240">
        <v>45823.0</v>
      </c>
      <c r="F114" s="90"/>
      <c r="U114" s="237"/>
    </row>
    <row r="115" ht="22.5" customHeight="1">
      <c r="A115" s="221">
        <v>14876.02</v>
      </c>
      <c r="B115" s="225" t="s">
        <v>15</v>
      </c>
      <c r="C115" s="224" t="s">
        <v>274</v>
      </c>
      <c r="D115" s="226"/>
      <c r="E115" s="240">
        <v>45823.0</v>
      </c>
      <c r="F115" s="90"/>
      <c r="U115" s="237"/>
    </row>
    <row r="116" ht="22.5" customHeight="1">
      <c r="A116" s="221">
        <v>3570.0</v>
      </c>
      <c r="B116" s="225" t="s">
        <v>15</v>
      </c>
      <c r="C116" s="224" t="s">
        <v>251</v>
      </c>
      <c r="D116" s="223" t="s">
        <v>339</v>
      </c>
      <c r="E116" s="240">
        <v>45823.0</v>
      </c>
      <c r="F116" s="90"/>
      <c r="U116" s="237"/>
    </row>
    <row r="117" ht="22.5" customHeight="1">
      <c r="A117" s="221">
        <v>1600.0</v>
      </c>
      <c r="B117" s="225" t="s">
        <v>15</v>
      </c>
      <c r="C117" s="224" t="s">
        <v>251</v>
      </c>
      <c r="D117" s="223" t="s">
        <v>340</v>
      </c>
      <c r="E117" s="240">
        <v>45823.0</v>
      </c>
      <c r="F117" s="90"/>
      <c r="U117" s="237"/>
    </row>
    <row r="118" ht="22.5" customHeight="1">
      <c r="A118" s="221">
        <v>1380.0</v>
      </c>
      <c r="B118" s="225" t="s">
        <v>15</v>
      </c>
      <c r="C118" s="224" t="s">
        <v>251</v>
      </c>
      <c r="D118" s="223" t="s">
        <v>341</v>
      </c>
      <c r="E118" s="240">
        <v>45824.0</v>
      </c>
      <c r="F118" s="90"/>
      <c r="U118" s="237"/>
    </row>
    <row r="119" ht="22.5" customHeight="1">
      <c r="A119" s="221">
        <v>6800.0</v>
      </c>
      <c r="B119" s="225" t="s">
        <v>15</v>
      </c>
      <c r="C119" s="224" t="s">
        <v>251</v>
      </c>
      <c r="D119" s="223" t="s">
        <v>342</v>
      </c>
      <c r="E119" s="240">
        <v>45825.0</v>
      </c>
      <c r="F119" s="90"/>
      <c r="U119" s="237"/>
    </row>
    <row r="120" ht="22.5" customHeight="1">
      <c r="A120" s="221">
        <v>10000.0</v>
      </c>
      <c r="B120" s="225" t="s">
        <v>15</v>
      </c>
      <c r="C120" s="224" t="s">
        <v>246</v>
      </c>
      <c r="D120" s="226"/>
      <c r="E120" s="240">
        <v>45826.0</v>
      </c>
      <c r="F120" s="90"/>
      <c r="U120" s="237"/>
    </row>
    <row r="121" ht="22.5" customHeight="1">
      <c r="A121" s="221">
        <v>3584.0</v>
      </c>
      <c r="B121" s="225" t="s">
        <v>15</v>
      </c>
      <c r="C121" s="224" t="s">
        <v>251</v>
      </c>
      <c r="D121" s="223" t="s">
        <v>343</v>
      </c>
      <c r="E121" s="240">
        <v>45826.0</v>
      </c>
      <c r="F121" s="90"/>
      <c r="U121" s="237"/>
    </row>
    <row r="122" ht="22.5" customHeight="1">
      <c r="A122" s="221">
        <v>2200.0</v>
      </c>
      <c r="B122" s="225" t="s">
        <v>15</v>
      </c>
      <c r="C122" s="224" t="s">
        <v>251</v>
      </c>
      <c r="D122" s="226"/>
      <c r="E122" s="240">
        <v>45827.0</v>
      </c>
      <c r="F122" s="90"/>
      <c r="U122" s="237"/>
    </row>
    <row r="123" ht="22.5" customHeight="1">
      <c r="A123" s="221">
        <v>173.0</v>
      </c>
      <c r="B123" s="225" t="s">
        <v>35</v>
      </c>
      <c r="C123" s="224" t="s">
        <v>269</v>
      </c>
      <c r="D123" s="223" t="s">
        <v>344</v>
      </c>
      <c r="E123" s="240">
        <v>45828.0</v>
      </c>
      <c r="F123" s="90"/>
      <c r="U123" s="237"/>
    </row>
    <row r="124" ht="22.5" customHeight="1">
      <c r="A124" s="221">
        <v>2800.0</v>
      </c>
      <c r="B124" s="225" t="s">
        <v>26</v>
      </c>
      <c r="C124" s="224" t="s">
        <v>251</v>
      </c>
      <c r="D124" s="223" t="s">
        <v>345</v>
      </c>
      <c r="E124" s="240">
        <v>45830.0</v>
      </c>
      <c r="F124" s="90"/>
      <c r="U124" s="237"/>
    </row>
    <row r="125" ht="22.5" customHeight="1">
      <c r="A125" s="221">
        <v>2400.0</v>
      </c>
      <c r="B125" s="225" t="s">
        <v>26</v>
      </c>
      <c r="C125" s="224" t="s">
        <v>251</v>
      </c>
      <c r="D125" s="223" t="s">
        <v>346</v>
      </c>
      <c r="E125" s="240">
        <v>45830.0</v>
      </c>
      <c r="F125" s="90"/>
      <c r="U125" s="237"/>
    </row>
    <row r="126" ht="22.5" customHeight="1">
      <c r="A126" s="221">
        <v>3300.0</v>
      </c>
      <c r="B126" s="225" t="s">
        <v>26</v>
      </c>
      <c r="C126" s="224" t="s">
        <v>125</v>
      </c>
      <c r="D126" s="226"/>
      <c r="E126" s="240">
        <v>45830.0</v>
      </c>
      <c r="F126" s="90"/>
      <c r="U126" s="237"/>
    </row>
    <row r="127" ht="22.5" customHeight="1">
      <c r="A127" s="221">
        <v>4300.0</v>
      </c>
      <c r="B127" s="225" t="s">
        <v>15</v>
      </c>
      <c r="C127" s="224" t="s">
        <v>251</v>
      </c>
      <c r="D127" s="223" t="s">
        <v>254</v>
      </c>
      <c r="E127" s="240">
        <v>45830.0</v>
      </c>
      <c r="F127" s="90"/>
      <c r="U127" s="237"/>
    </row>
    <row r="128" ht="22.5" customHeight="1">
      <c r="A128" s="221">
        <v>2455.0</v>
      </c>
      <c r="B128" s="225" t="s">
        <v>15</v>
      </c>
      <c r="C128" s="224" t="s">
        <v>251</v>
      </c>
      <c r="D128" s="223" t="s">
        <v>347</v>
      </c>
      <c r="E128" s="240">
        <v>45831.0</v>
      </c>
      <c r="F128" s="90"/>
      <c r="U128" s="237"/>
    </row>
    <row r="129" ht="22.5" customHeight="1">
      <c r="A129" s="221">
        <v>1900.0</v>
      </c>
      <c r="B129" s="225" t="s">
        <v>15</v>
      </c>
      <c r="C129" s="224" t="s">
        <v>251</v>
      </c>
      <c r="D129" s="223" t="s">
        <v>348</v>
      </c>
      <c r="E129" s="240">
        <v>45833.0</v>
      </c>
      <c r="F129" s="90"/>
      <c r="U129" s="237"/>
    </row>
    <row r="130" ht="22.5" customHeight="1">
      <c r="A130" s="221">
        <v>1800.0</v>
      </c>
      <c r="B130" s="225" t="s">
        <v>26</v>
      </c>
      <c r="C130" s="224" t="s">
        <v>251</v>
      </c>
      <c r="D130" s="223" t="s">
        <v>349</v>
      </c>
      <c r="E130" s="240">
        <v>45834.0</v>
      </c>
      <c r="F130" s="90"/>
      <c r="U130" s="237"/>
    </row>
    <row r="131" ht="22.5" customHeight="1">
      <c r="A131" s="221">
        <v>1000.0</v>
      </c>
      <c r="B131" s="225" t="s">
        <v>26</v>
      </c>
      <c r="C131" s="224" t="s">
        <v>272</v>
      </c>
      <c r="D131" s="223" t="s">
        <v>350</v>
      </c>
      <c r="E131" s="240">
        <v>45835.0</v>
      </c>
      <c r="F131" s="90"/>
      <c r="U131" s="237"/>
    </row>
    <row r="132" ht="22.5" customHeight="1">
      <c r="A132" s="221">
        <v>10000.0</v>
      </c>
      <c r="B132" s="225" t="s">
        <v>15</v>
      </c>
      <c r="C132" s="224" t="s">
        <v>121</v>
      </c>
      <c r="D132" s="228" t="s">
        <v>351</v>
      </c>
      <c r="E132" s="240">
        <v>45835.0</v>
      </c>
      <c r="F132" s="90"/>
      <c r="U132" s="237"/>
    </row>
    <row r="133" ht="22.5" customHeight="1">
      <c r="A133" s="221">
        <v>3100.0</v>
      </c>
      <c r="B133" s="225" t="s">
        <v>15</v>
      </c>
      <c r="C133" s="224" t="s">
        <v>251</v>
      </c>
      <c r="D133" s="223" t="s">
        <v>293</v>
      </c>
      <c r="E133" s="240">
        <v>45835.0</v>
      </c>
      <c r="F133" s="90"/>
      <c r="U133" s="237"/>
    </row>
    <row r="134" ht="22.5" customHeight="1">
      <c r="A134" s="221">
        <v>2600.0</v>
      </c>
      <c r="B134" s="225" t="s">
        <v>15</v>
      </c>
      <c r="C134" s="224" t="s">
        <v>251</v>
      </c>
      <c r="D134" s="223" t="s">
        <v>352</v>
      </c>
      <c r="E134" s="240">
        <v>45838.0</v>
      </c>
      <c r="F134" s="90"/>
      <c r="U134" s="237"/>
    </row>
    <row r="135" ht="22.5" customHeight="1">
      <c r="A135" s="221">
        <v>2200.0</v>
      </c>
      <c r="B135" s="225" t="s">
        <v>15</v>
      </c>
      <c r="C135" s="224" t="s">
        <v>251</v>
      </c>
      <c r="D135" s="223" t="s">
        <v>45</v>
      </c>
      <c r="E135" s="240">
        <v>45838.0</v>
      </c>
      <c r="F135" s="90"/>
      <c r="U135" s="237"/>
    </row>
    <row r="136" ht="22.5" customHeight="1">
      <c r="A136" s="247">
        <v>3000.0</v>
      </c>
      <c r="B136" s="248" t="s">
        <v>15</v>
      </c>
      <c r="C136" s="249" t="s">
        <v>291</v>
      </c>
      <c r="D136" s="250" t="s">
        <v>303</v>
      </c>
      <c r="E136" s="251">
        <v>45839.0</v>
      </c>
      <c r="F136" s="90"/>
      <c r="U136" s="237"/>
    </row>
    <row r="137" ht="22.5" customHeight="1">
      <c r="A137" s="221">
        <v>4200.0</v>
      </c>
      <c r="B137" s="225" t="s">
        <v>15</v>
      </c>
      <c r="C137" s="224" t="s">
        <v>291</v>
      </c>
      <c r="D137" s="223" t="s">
        <v>303</v>
      </c>
      <c r="E137" s="240">
        <v>45839.0</v>
      </c>
      <c r="F137" s="90"/>
      <c r="U137" s="237"/>
    </row>
    <row r="138" ht="22.5" customHeight="1">
      <c r="A138" s="221">
        <v>900.0</v>
      </c>
      <c r="B138" s="225" t="s">
        <v>15</v>
      </c>
      <c r="C138" s="224" t="s">
        <v>251</v>
      </c>
      <c r="D138" s="223" t="s">
        <v>295</v>
      </c>
      <c r="E138" s="240">
        <v>45840.0</v>
      </c>
      <c r="F138" s="90"/>
      <c r="U138" s="237"/>
    </row>
    <row r="139" ht="22.5" customHeight="1">
      <c r="A139" s="221">
        <v>3400.0</v>
      </c>
      <c r="B139" s="225" t="s">
        <v>15</v>
      </c>
      <c r="C139" s="224" t="s">
        <v>251</v>
      </c>
      <c r="D139" s="223" t="s">
        <v>346</v>
      </c>
      <c r="E139" s="240">
        <v>45840.0</v>
      </c>
      <c r="F139" s="90"/>
      <c r="U139" s="237"/>
    </row>
    <row r="140" ht="22.5" customHeight="1">
      <c r="A140" s="221">
        <v>11580.0</v>
      </c>
      <c r="B140" s="225" t="s">
        <v>15</v>
      </c>
      <c r="C140" s="224" t="s">
        <v>269</v>
      </c>
      <c r="D140" s="223" t="s">
        <v>353</v>
      </c>
      <c r="E140" s="240">
        <v>45843.0</v>
      </c>
      <c r="F140" s="90"/>
      <c r="U140" s="237"/>
    </row>
    <row r="141" ht="22.5" customHeight="1">
      <c r="A141" s="221">
        <v>6285.0</v>
      </c>
      <c r="B141" s="225" t="s">
        <v>15</v>
      </c>
      <c r="C141" s="224" t="s">
        <v>251</v>
      </c>
      <c r="D141" s="226"/>
      <c r="E141" s="240">
        <v>45844.0</v>
      </c>
      <c r="F141" s="90"/>
      <c r="U141" s="237"/>
    </row>
    <row r="142" ht="22.5" customHeight="1">
      <c r="A142" s="221">
        <v>4382.74</v>
      </c>
      <c r="B142" s="225" t="s">
        <v>15</v>
      </c>
      <c r="C142" s="224" t="s">
        <v>260</v>
      </c>
      <c r="D142" s="223" t="s">
        <v>354</v>
      </c>
      <c r="E142" s="240">
        <v>45845.0</v>
      </c>
      <c r="F142" s="90"/>
    </row>
    <row r="143" ht="22.5" customHeight="1">
      <c r="A143" s="221">
        <v>900.0</v>
      </c>
      <c r="B143" s="225" t="s">
        <v>15</v>
      </c>
      <c r="C143" s="224" t="s">
        <v>251</v>
      </c>
      <c r="D143" s="223" t="s">
        <v>295</v>
      </c>
      <c r="E143" s="240">
        <v>45846.0</v>
      </c>
      <c r="F143" s="90"/>
    </row>
    <row r="144" ht="22.5" customHeight="1">
      <c r="A144" s="221">
        <v>4380.0</v>
      </c>
      <c r="B144" s="225" t="s">
        <v>15</v>
      </c>
      <c r="C144" s="224" t="s">
        <v>251</v>
      </c>
      <c r="D144" s="223" t="s">
        <v>293</v>
      </c>
      <c r="E144" s="240">
        <v>45846.0</v>
      </c>
      <c r="F144" s="90"/>
    </row>
    <row r="145" ht="22.5" customHeight="1">
      <c r="A145" s="221">
        <v>3200.0</v>
      </c>
      <c r="B145" s="225" t="s">
        <v>15</v>
      </c>
      <c r="C145" s="224" t="s">
        <v>260</v>
      </c>
      <c r="D145" s="223" t="s">
        <v>355</v>
      </c>
      <c r="E145" s="240">
        <v>45847.0</v>
      </c>
      <c r="F145" s="90"/>
    </row>
    <row r="146" ht="22.5" customHeight="1">
      <c r="A146" s="221">
        <v>6400.0</v>
      </c>
      <c r="B146" s="225" t="s">
        <v>15</v>
      </c>
      <c r="C146" s="224" t="s">
        <v>260</v>
      </c>
      <c r="D146" s="223" t="s">
        <v>355</v>
      </c>
      <c r="E146" s="240">
        <v>45849.0</v>
      </c>
      <c r="F146" s="90"/>
    </row>
    <row r="147" ht="22.5" customHeight="1">
      <c r="A147" s="221">
        <v>11100.0</v>
      </c>
      <c r="B147" s="225" t="s">
        <v>15</v>
      </c>
      <c r="C147" s="224" t="s">
        <v>251</v>
      </c>
      <c r="D147" s="223" t="s">
        <v>356</v>
      </c>
      <c r="E147" s="240">
        <v>45849.0</v>
      </c>
      <c r="F147" s="90"/>
    </row>
    <row r="148" ht="22.5" customHeight="1">
      <c r="A148" s="221">
        <v>3075.0</v>
      </c>
      <c r="B148" s="225" t="s">
        <v>15</v>
      </c>
      <c r="C148" s="224" t="s">
        <v>251</v>
      </c>
      <c r="D148" s="223" t="s">
        <v>357</v>
      </c>
      <c r="E148" s="240">
        <v>45849.0</v>
      </c>
      <c r="F148" s="90"/>
    </row>
    <row r="149" ht="22.5" customHeight="1">
      <c r="A149" s="221">
        <v>2500.0</v>
      </c>
      <c r="B149" s="225" t="s">
        <v>15</v>
      </c>
      <c r="C149" s="224" t="s">
        <v>291</v>
      </c>
      <c r="D149" s="223" t="s">
        <v>73</v>
      </c>
      <c r="E149" s="240">
        <v>45849.0</v>
      </c>
      <c r="F149" s="90"/>
    </row>
    <row r="150" ht="22.5" customHeight="1">
      <c r="A150" s="221">
        <v>1740.0</v>
      </c>
      <c r="B150" s="225" t="s">
        <v>15</v>
      </c>
      <c r="C150" s="224" t="s">
        <v>291</v>
      </c>
      <c r="D150" s="223" t="s">
        <v>73</v>
      </c>
      <c r="E150" s="240">
        <v>45850.0</v>
      </c>
      <c r="F150" s="90"/>
    </row>
    <row r="151" ht="22.5" customHeight="1">
      <c r="A151" s="221">
        <v>10600.0</v>
      </c>
      <c r="B151" s="225" t="s">
        <v>15</v>
      </c>
      <c r="C151" s="224" t="s">
        <v>121</v>
      </c>
      <c r="D151" s="223" t="s">
        <v>358</v>
      </c>
      <c r="E151" s="240">
        <v>45850.0</v>
      </c>
      <c r="F151" s="90"/>
    </row>
    <row r="152" ht="22.5" customHeight="1">
      <c r="A152" s="221">
        <v>500.0</v>
      </c>
      <c r="B152" s="225" t="s">
        <v>26</v>
      </c>
      <c r="C152" s="224" t="s">
        <v>260</v>
      </c>
      <c r="D152" s="223" t="s">
        <v>359</v>
      </c>
      <c r="E152" s="240">
        <v>45850.0</v>
      </c>
      <c r="F152" s="90"/>
    </row>
    <row r="153" ht="22.5" customHeight="1">
      <c r="A153" s="221">
        <v>35000.0</v>
      </c>
      <c r="B153" s="225" t="s">
        <v>15</v>
      </c>
      <c r="C153" s="224" t="s">
        <v>245</v>
      </c>
      <c r="D153" s="223" t="s">
        <v>360</v>
      </c>
      <c r="E153" s="240">
        <v>45852.0</v>
      </c>
      <c r="F153" s="90"/>
    </row>
    <row r="154" ht="22.5" customHeight="1">
      <c r="A154" s="221">
        <v>100.0</v>
      </c>
      <c r="B154" s="223" t="s">
        <v>35</v>
      </c>
      <c r="C154" s="224" t="s">
        <v>314</v>
      </c>
      <c r="D154" s="223" t="s">
        <v>361</v>
      </c>
      <c r="E154" s="240">
        <v>45852.0</v>
      </c>
      <c r="F154" s="90"/>
    </row>
    <row r="155" ht="22.5" customHeight="1">
      <c r="A155" s="221">
        <v>14000.0</v>
      </c>
      <c r="B155" s="223" t="s">
        <v>15</v>
      </c>
      <c r="C155" s="224" t="s">
        <v>246</v>
      </c>
      <c r="D155" s="223" t="s">
        <v>164</v>
      </c>
      <c r="E155" s="240">
        <v>45853.0</v>
      </c>
      <c r="F155" s="90"/>
    </row>
    <row r="156" ht="22.5" customHeight="1">
      <c r="A156" s="221">
        <v>21924.55</v>
      </c>
      <c r="B156" s="223" t="s">
        <v>15</v>
      </c>
      <c r="C156" s="224" t="s">
        <v>269</v>
      </c>
      <c r="D156" s="223" t="s">
        <v>362</v>
      </c>
      <c r="E156" s="240">
        <v>45853.0</v>
      </c>
      <c r="F156" s="90"/>
    </row>
    <row r="157" ht="22.5" customHeight="1">
      <c r="A157" s="221">
        <v>13000.0</v>
      </c>
      <c r="B157" s="223" t="s">
        <v>15</v>
      </c>
      <c r="C157" s="224" t="s">
        <v>246</v>
      </c>
      <c r="D157" s="223" t="s">
        <v>363</v>
      </c>
      <c r="E157" s="240">
        <v>45853.0</v>
      </c>
      <c r="F157" s="90"/>
    </row>
    <row r="158" ht="22.5" customHeight="1">
      <c r="A158" s="221">
        <v>280.0</v>
      </c>
      <c r="B158" s="225" t="s">
        <v>35</v>
      </c>
      <c r="C158" s="224" t="s">
        <v>364</v>
      </c>
      <c r="D158" s="223" t="s">
        <v>365</v>
      </c>
      <c r="E158" s="240">
        <v>45853.0</v>
      </c>
      <c r="F158" s="90"/>
    </row>
    <row r="159" ht="22.5" customHeight="1">
      <c r="A159" s="221">
        <v>5000.0</v>
      </c>
      <c r="B159" s="223" t="s">
        <v>15</v>
      </c>
      <c r="C159" s="224" t="s">
        <v>269</v>
      </c>
      <c r="D159" s="223" t="s">
        <v>366</v>
      </c>
      <c r="E159" s="240">
        <v>45855.0</v>
      </c>
      <c r="F159" s="90"/>
    </row>
    <row r="160" ht="22.5" customHeight="1">
      <c r="A160" s="221">
        <v>31500.0</v>
      </c>
      <c r="B160" s="223" t="s">
        <v>15</v>
      </c>
      <c r="C160" s="224" t="s">
        <v>249</v>
      </c>
      <c r="D160" s="223" t="s">
        <v>164</v>
      </c>
      <c r="E160" s="240">
        <v>45855.0</v>
      </c>
      <c r="F160" s="90"/>
    </row>
    <row r="161" ht="22.5" customHeight="1">
      <c r="A161" s="221">
        <v>10204.44</v>
      </c>
      <c r="B161" s="223" t="s">
        <v>15</v>
      </c>
      <c r="C161" s="224" t="s">
        <v>245</v>
      </c>
      <c r="D161" s="223" t="s">
        <v>164</v>
      </c>
      <c r="E161" s="240">
        <v>45857.0</v>
      </c>
      <c r="F161" s="90"/>
    </row>
    <row r="162" ht="22.5" customHeight="1">
      <c r="A162" s="221">
        <v>15550.0</v>
      </c>
      <c r="B162" s="223" t="s">
        <v>15</v>
      </c>
      <c r="C162" s="224" t="s">
        <v>269</v>
      </c>
      <c r="D162" s="223" t="s">
        <v>367</v>
      </c>
      <c r="E162" s="240">
        <v>45858.0</v>
      </c>
      <c r="F162" s="90"/>
    </row>
    <row r="163" ht="22.5" customHeight="1">
      <c r="A163" s="221">
        <v>5400.0</v>
      </c>
      <c r="B163" s="223" t="s">
        <v>15</v>
      </c>
      <c r="C163" s="224" t="s">
        <v>272</v>
      </c>
      <c r="D163" s="223" t="s">
        <v>318</v>
      </c>
      <c r="E163" s="240">
        <v>45859.0</v>
      </c>
      <c r="F163" s="90"/>
    </row>
    <row r="164" ht="22.5" customHeight="1">
      <c r="A164" s="221">
        <v>20000.0</v>
      </c>
      <c r="B164" s="223" t="s">
        <v>15</v>
      </c>
      <c r="C164" s="224" t="s">
        <v>247</v>
      </c>
      <c r="D164" s="223" t="s">
        <v>368</v>
      </c>
      <c r="E164" s="240">
        <v>45859.0</v>
      </c>
      <c r="F164" s="90"/>
    </row>
    <row r="165" ht="22.5" customHeight="1">
      <c r="A165" s="221">
        <v>23500.0</v>
      </c>
      <c r="B165" s="223" t="s">
        <v>15</v>
      </c>
      <c r="C165" s="224" t="s">
        <v>249</v>
      </c>
      <c r="D165" s="223" t="s">
        <v>67</v>
      </c>
      <c r="E165" s="240">
        <v>45860.0</v>
      </c>
      <c r="F165" s="90"/>
    </row>
    <row r="166" ht="22.5" customHeight="1">
      <c r="A166" s="221">
        <v>15000.0</v>
      </c>
      <c r="B166" s="223" t="s">
        <v>15</v>
      </c>
      <c r="C166" s="224" t="s">
        <v>247</v>
      </c>
      <c r="D166" s="223" t="s">
        <v>164</v>
      </c>
      <c r="E166" s="240">
        <v>45860.0</v>
      </c>
      <c r="F166" s="90"/>
    </row>
    <row r="167" ht="22.5" customHeight="1">
      <c r="A167" s="221">
        <v>2190.0</v>
      </c>
      <c r="B167" s="223" t="s">
        <v>26</v>
      </c>
      <c r="C167" s="224" t="s">
        <v>125</v>
      </c>
      <c r="D167" s="223" t="s">
        <v>164</v>
      </c>
      <c r="E167" s="240">
        <v>45860.0</v>
      </c>
      <c r="F167" s="90"/>
    </row>
    <row r="168" ht="22.5" customHeight="1">
      <c r="A168" s="221">
        <v>5000.0</v>
      </c>
      <c r="B168" s="223" t="s">
        <v>15</v>
      </c>
      <c r="C168" s="224" t="s">
        <v>364</v>
      </c>
      <c r="D168" s="223" t="s">
        <v>369</v>
      </c>
      <c r="E168" s="240">
        <v>45860.0</v>
      </c>
      <c r="F168" s="90"/>
    </row>
    <row r="169" ht="22.5" customHeight="1">
      <c r="A169" s="221">
        <v>3180.82</v>
      </c>
      <c r="B169" s="223" t="s">
        <v>15</v>
      </c>
      <c r="C169" s="224" t="s">
        <v>251</v>
      </c>
      <c r="D169" s="223" t="s">
        <v>370</v>
      </c>
      <c r="E169" s="240">
        <v>45863.0</v>
      </c>
      <c r="F169" s="90"/>
    </row>
    <row r="170" ht="22.5" customHeight="1">
      <c r="A170" s="221">
        <v>300.0</v>
      </c>
      <c r="B170" s="223" t="s">
        <v>35</v>
      </c>
      <c r="C170" s="224" t="s">
        <v>371</v>
      </c>
      <c r="D170" s="223" t="s">
        <v>372</v>
      </c>
      <c r="E170" s="240">
        <v>45866.0</v>
      </c>
      <c r="F170" s="90"/>
    </row>
    <row r="171" ht="22.5" customHeight="1">
      <c r="A171" s="221">
        <v>1800.0</v>
      </c>
      <c r="B171" s="223" t="s">
        <v>26</v>
      </c>
      <c r="C171" s="224" t="s">
        <v>125</v>
      </c>
      <c r="D171" s="223" t="s">
        <v>164</v>
      </c>
      <c r="E171" s="240">
        <v>45866.0</v>
      </c>
      <c r="F171" s="90"/>
    </row>
    <row r="172" ht="22.5" customHeight="1">
      <c r="A172" s="221">
        <v>2750.0</v>
      </c>
      <c r="B172" s="223" t="s">
        <v>15</v>
      </c>
      <c r="C172" s="224" t="s">
        <v>251</v>
      </c>
      <c r="D172" s="223" t="s">
        <v>373</v>
      </c>
      <c r="E172" s="240">
        <v>45867.0</v>
      </c>
      <c r="F172" s="90"/>
    </row>
    <row r="173" ht="22.5" customHeight="1">
      <c r="A173" s="221">
        <v>5500.0</v>
      </c>
      <c r="B173" s="223" t="s">
        <v>15</v>
      </c>
      <c r="C173" s="224" t="s">
        <v>269</v>
      </c>
      <c r="D173" s="223" t="s">
        <v>374</v>
      </c>
      <c r="E173" s="240">
        <v>45867.0</v>
      </c>
      <c r="F173" s="90"/>
    </row>
    <row r="174" ht="22.5" customHeight="1">
      <c r="A174" s="221">
        <v>123497.62</v>
      </c>
      <c r="B174" s="223" t="s">
        <v>15</v>
      </c>
      <c r="C174" s="224" t="s">
        <v>244</v>
      </c>
      <c r="D174" s="223" t="s">
        <v>375</v>
      </c>
      <c r="E174" s="240">
        <v>45867.0</v>
      </c>
      <c r="F174" s="90"/>
    </row>
    <row r="175" ht="22.5" customHeight="1">
      <c r="A175" s="221">
        <v>14800.0</v>
      </c>
      <c r="B175" s="223" t="s">
        <v>15</v>
      </c>
      <c r="C175" s="224" t="s">
        <v>371</v>
      </c>
      <c r="D175" s="223" t="s">
        <v>376</v>
      </c>
      <c r="E175" s="240">
        <v>45868.0</v>
      </c>
      <c r="F175" s="90"/>
    </row>
    <row r="176" ht="22.5" customHeight="1">
      <c r="A176" s="221">
        <v>12000.0</v>
      </c>
      <c r="B176" s="223" t="s">
        <v>15</v>
      </c>
      <c r="C176" s="224" t="s">
        <v>371</v>
      </c>
      <c r="D176" s="223" t="s">
        <v>377</v>
      </c>
      <c r="E176" s="240">
        <v>45868.0</v>
      </c>
      <c r="F176" s="90"/>
    </row>
    <row r="177" ht="22.5" customHeight="1">
      <c r="A177" s="221">
        <v>11300.0</v>
      </c>
      <c r="B177" s="223" t="s">
        <v>15</v>
      </c>
      <c r="C177" s="224" t="s">
        <v>378</v>
      </c>
      <c r="D177" s="223" t="s">
        <v>379</v>
      </c>
      <c r="E177" s="240">
        <v>45868.0</v>
      </c>
      <c r="F177" s="90"/>
    </row>
    <row r="178" ht="22.5" customHeight="1">
      <c r="A178" s="221">
        <v>26636.0</v>
      </c>
      <c r="B178" s="223" t="s">
        <v>15</v>
      </c>
      <c r="C178" s="224" t="s">
        <v>274</v>
      </c>
      <c r="D178" s="223" t="s">
        <v>380</v>
      </c>
      <c r="E178" s="240">
        <v>45871.0</v>
      </c>
      <c r="F178" s="90"/>
    </row>
    <row r="179" ht="22.5" customHeight="1">
      <c r="A179" s="221">
        <v>8600.0</v>
      </c>
      <c r="B179" s="223" t="s">
        <v>15</v>
      </c>
      <c r="C179" s="224" t="s">
        <v>378</v>
      </c>
      <c r="D179" s="223" t="s">
        <v>381</v>
      </c>
      <c r="E179" s="240">
        <v>45871.0</v>
      </c>
      <c r="F179" s="90"/>
    </row>
    <row r="180" ht="22.5" customHeight="1">
      <c r="A180" s="221">
        <v>3000.0</v>
      </c>
      <c r="B180" s="223" t="s">
        <v>15</v>
      </c>
      <c r="C180" s="224" t="s">
        <v>371</v>
      </c>
      <c r="D180" s="223" t="s">
        <v>382</v>
      </c>
      <c r="E180" s="240">
        <v>45872.0</v>
      </c>
      <c r="F180" s="90"/>
    </row>
    <row r="181" ht="22.5" customHeight="1">
      <c r="A181" s="221">
        <v>5000.0</v>
      </c>
      <c r="B181" s="223" t="s">
        <v>15</v>
      </c>
      <c r="C181" s="224" t="s">
        <v>274</v>
      </c>
      <c r="D181" s="223" t="s">
        <v>383</v>
      </c>
      <c r="E181" s="240">
        <v>45874.0</v>
      </c>
      <c r="F181" s="90"/>
    </row>
    <row r="182" ht="22.5" customHeight="1">
      <c r="A182" s="221">
        <v>6000.0</v>
      </c>
      <c r="B182" s="223" t="s">
        <v>15</v>
      </c>
      <c r="C182" s="224" t="s">
        <v>378</v>
      </c>
      <c r="D182" s="223" t="s">
        <v>384</v>
      </c>
      <c r="E182" s="240">
        <v>45879.0</v>
      </c>
      <c r="F182" s="90"/>
    </row>
    <row r="183" ht="22.5" customHeight="1">
      <c r="A183" s="221">
        <v>16366.76</v>
      </c>
      <c r="B183" s="223" t="s">
        <v>15</v>
      </c>
      <c r="C183" s="224" t="s">
        <v>269</v>
      </c>
      <c r="D183" s="223" t="s">
        <v>385</v>
      </c>
      <c r="E183" s="240">
        <v>45880.0</v>
      </c>
      <c r="F183" s="90"/>
    </row>
    <row r="184" ht="22.5" customHeight="1">
      <c r="A184" s="221">
        <v>2817.16</v>
      </c>
      <c r="B184" s="223" t="s">
        <v>15</v>
      </c>
      <c r="C184" s="224" t="s">
        <v>125</v>
      </c>
      <c r="D184" s="223" t="s">
        <v>386</v>
      </c>
      <c r="E184" s="240">
        <v>45880.0</v>
      </c>
      <c r="F184" s="90"/>
    </row>
    <row r="185" ht="22.5" customHeight="1">
      <c r="A185" s="221">
        <v>1100.0</v>
      </c>
      <c r="B185" s="223" t="s">
        <v>26</v>
      </c>
      <c r="C185" s="224" t="s">
        <v>125</v>
      </c>
      <c r="D185" s="223" t="s">
        <v>387</v>
      </c>
      <c r="E185" s="240">
        <v>45880.0</v>
      </c>
      <c r="F185" s="90"/>
    </row>
    <row r="186" ht="22.5" customHeight="1">
      <c r="A186" s="221">
        <v>600.0</v>
      </c>
      <c r="B186" s="223" t="s">
        <v>15</v>
      </c>
      <c r="C186" s="224" t="s">
        <v>251</v>
      </c>
      <c r="D186" s="223" t="s">
        <v>388</v>
      </c>
      <c r="E186" s="240">
        <v>45880.0</v>
      </c>
      <c r="F186" s="90"/>
    </row>
    <row r="187" ht="22.5" customHeight="1">
      <c r="A187" s="221">
        <v>15793.0</v>
      </c>
      <c r="B187" s="223" t="s">
        <v>15</v>
      </c>
      <c r="C187" s="224" t="s">
        <v>274</v>
      </c>
      <c r="D187" s="223" t="s">
        <v>389</v>
      </c>
      <c r="E187" s="240">
        <v>45882.0</v>
      </c>
      <c r="F187" s="90"/>
    </row>
    <row r="188" ht="22.5" customHeight="1">
      <c r="A188" s="221">
        <v>1000.0</v>
      </c>
      <c r="B188" s="223" t="s">
        <v>26</v>
      </c>
      <c r="C188" s="224" t="s">
        <v>251</v>
      </c>
      <c r="D188" s="223" t="s">
        <v>390</v>
      </c>
      <c r="E188" s="240">
        <v>45883.0</v>
      </c>
      <c r="F188" s="90"/>
    </row>
    <row r="189" ht="22.5" customHeight="1">
      <c r="A189" s="221">
        <v>35000.0</v>
      </c>
      <c r="B189" s="223" t="s">
        <v>15</v>
      </c>
      <c r="C189" s="224" t="s">
        <v>247</v>
      </c>
      <c r="D189" s="223" t="s">
        <v>391</v>
      </c>
      <c r="E189" s="240">
        <v>45884.0</v>
      </c>
      <c r="F189" s="90"/>
    </row>
    <row r="190" ht="22.5" customHeight="1">
      <c r="A190" s="221">
        <v>16000.0</v>
      </c>
      <c r="B190" s="223" t="s">
        <v>15</v>
      </c>
      <c r="C190" s="224" t="s">
        <v>249</v>
      </c>
      <c r="D190" s="223" t="s">
        <v>392</v>
      </c>
      <c r="E190" s="240">
        <v>45888.0</v>
      </c>
      <c r="F190" s="90"/>
    </row>
    <row r="191" ht="22.5" customHeight="1">
      <c r="A191" s="221">
        <v>31500.0</v>
      </c>
      <c r="B191" s="223" t="s">
        <v>15</v>
      </c>
      <c r="C191" s="224" t="s">
        <v>249</v>
      </c>
      <c r="D191" s="223" t="s">
        <v>393</v>
      </c>
      <c r="E191" s="240">
        <v>45888.0</v>
      </c>
      <c r="F191" s="90"/>
    </row>
    <row r="192" ht="22.5" customHeight="1">
      <c r="A192" s="221">
        <v>2409.0</v>
      </c>
      <c r="B192" s="223" t="s">
        <v>15</v>
      </c>
      <c r="C192" s="224" t="s">
        <v>269</v>
      </c>
      <c r="D192" s="223" t="s">
        <v>394</v>
      </c>
      <c r="E192" s="240">
        <v>45889.0</v>
      </c>
      <c r="F192" s="90"/>
    </row>
    <row r="193" ht="22.5" customHeight="1">
      <c r="A193" s="221">
        <v>26000.0</v>
      </c>
      <c r="B193" s="223" t="s">
        <v>15</v>
      </c>
      <c r="C193" s="224" t="s">
        <v>247</v>
      </c>
      <c r="D193" s="223" t="s">
        <v>395</v>
      </c>
      <c r="E193" s="240">
        <v>45890.0</v>
      </c>
      <c r="F193" s="90"/>
    </row>
    <row r="194" ht="22.5" customHeight="1">
      <c r="A194" s="221">
        <v>26216.62</v>
      </c>
      <c r="B194" s="223" t="s">
        <v>15</v>
      </c>
      <c r="C194" s="224" t="s">
        <v>269</v>
      </c>
      <c r="D194" s="223" t="s">
        <v>396</v>
      </c>
      <c r="E194" s="240">
        <v>45900.0</v>
      </c>
      <c r="F194" s="90"/>
    </row>
    <row r="195" ht="22.5" customHeight="1">
      <c r="A195" s="221">
        <v>1200.0</v>
      </c>
      <c r="B195" s="223" t="s">
        <v>15</v>
      </c>
      <c r="C195" s="224" t="s">
        <v>251</v>
      </c>
      <c r="D195" s="223" t="s">
        <v>256</v>
      </c>
      <c r="E195" s="240">
        <v>45901.0</v>
      </c>
      <c r="F195" s="90"/>
    </row>
    <row r="196" ht="22.5" customHeight="1">
      <c r="A196" s="221">
        <v>1600.0</v>
      </c>
      <c r="B196" s="223" t="s">
        <v>15</v>
      </c>
      <c r="C196" s="224" t="s">
        <v>251</v>
      </c>
      <c r="D196" s="223" t="s">
        <v>397</v>
      </c>
      <c r="E196" s="240">
        <v>45902.0</v>
      </c>
      <c r="F196" s="90"/>
    </row>
    <row r="197" ht="22.5" customHeight="1">
      <c r="A197" s="221">
        <v>14000.0</v>
      </c>
      <c r="B197" s="223" t="s">
        <v>15</v>
      </c>
      <c r="C197" s="224" t="s">
        <v>246</v>
      </c>
      <c r="D197" s="223" t="s">
        <v>164</v>
      </c>
      <c r="E197" s="240">
        <v>45904.0</v>
      </c>
      <c r="F197" s="90"/>
    </row>
    <row r="198" ht="22.5" customHeight="1">
      <c r="A198" s="221">
        <v>5400.0</v>
      </c>
      <c r="B198" s="223" t="s">
        <v>15</v>
      </c>
      <c r="C198" s="224" t="s">
        <v>251</v>
      </c>
      <c r="D198" s="223" t="s">
        <v>398</v>
      </c>
      <c r="E198" s="240">
        <v>45907.0</v>
      </c>
      <c r="F198" s="90"/>
    </row>
    <row r="199" ht="22.5" customHeight="1">
      <c r="A199" s="221">
        <v>2000.0</v>
      </c>
      <c r="B199" s="223" t="s">
        <v>15</v>
      </c>
      <c r="C199" s="224" t="s">
        <v>251</v>
      </c>
      <c r="D199" s="223" t="s">
        <v>399</v>
      </c>
      <c r="E199" s="240">
        <v>45908.0</v>
      </c>
      <c r="F199" s="90"/>
    </row>
    <row r="200" ht="22.5" customHeight="1">
      <c r="A200" s="221">
        <v>10553.62</v>
      </c>
      <c r="B200" s="223" t="s">
        <v>15</v>
      </c>
      <c r="C200" s="224" t="s">
        <v>269</v>
      </c>
      <c r="D200" s="223" t="s">
        <v>400</v>
      </c>
      <c r="E200" s="240">
        <v>45909.0</v>
      </c>
      <c r="F200" s="90"/>
    </row>
    <row r="201" ht="22.5" customHeight="1">
      <c r="A201" s="221">
        <v>7200.0</v>
      </c>
      <c r="B201" s="223" t="s">
        <v>15</v>
      </c>
      <c r="C201" s="224" t="s">
        <v>269</v>
      </c>
      <c r="D201" s="223" t="s">
        <v>401</v>
      </c>
      <c r="E201" s="240">
        <v>45910.0</v>
      </c>
      <c r="F201" s="90"/>
    </row>
    <row r="202" ht="22.5" customHeight="1">
      <c r="A202" s="221">
        <v>4100.0</v>
      </c>
      <c r="B202" s="223" t="s">
        <v>15</v>
      </c>
      <c r="C202" s="224" t="s">
        <v>269</v>
      </c>
      <c r="D202" s="223" t="s">
        <v>402</v>
      </c>
      <c r="E202" s="240">
        <v>45911.0</v>
      </c>
      <c r="F202" s="90"/>
    </row>
    <row r="203" ht="22.5" customHeight="1">
      <c r="A203" s="221">
        <v>9742.0</v>
      </c>
      <c r="B203" s="223" t="s">
        <v>15</v>
      </c>
      <c r="C203" s="224" t="s">
        <v>269</v>
      </c>
      <c r="D203" s="223" t="s">
        <v>403</v>
      </c>
      <c r="E203" s="240">
        <v>45911.0</v>
      </c>
      <c r="F203" s="90"/>
    </row>
    <row r="204" ht="22.5" customHeight="1">
      <c r="A204" s="221">
        <v>52000.0</v>
      </c>
      <c r="B204" s="223" t="s">
        <v>15</v>
      </c>
      <c r="C204" s="224" t="s">
        <v>314</v>
      </c>
      <c r="D204" s="223" t="s">
        <v>404</v>
      </c>
      <c r="E204" s="240">
        <v>45913.0</v>
      </c>
      <c r="F204" s="90"/>
    </row>
    <row r="205" ht="22.5" customHeight="1">
      <c r="A205" s="221">
        <v>8000.0</v>
      </c>
      <c r="B205" s="223" t="s">
        <v>15</v>
      </c>
      <c r="C205" s="224" t="s">
        <v>274</v>
      </c>
      <c r="D205" s="223" t="s">
        <v>405</v>
      </c>
      <c r="E205" s="240">
        <v>45913.0</v>
      </c>
      <c r="F205" s="90"/>
    </row>
    <row r="206" ht="22.5" customHeight="1">
      <c r="A206" s="221">
        <v>4825.35</v>
      </c>
      <c r="B206" s="223" t="s">
        <v>15</v>
      </c>
      <c r="C206" s="224" t="s">
        <v>251</v>
      </c>
      <c r="D206" s="223" t="s">
        <v>406</v>
      </c>
      <c r="E206" s="240">
        <v>45913.0</v>
      </c>
      <c r="F206" s="90"/>
    </row>
    <row r="207" ht="22.5" customHeight="1">
      <c r="A207" s="221">
        <v>15600.0</v>
      </c>
      <c r="B207" s="223" t="s">
        <v>15</v>
      </c>
      <c r="C207" s="224" t="s">
        <v>269</v>
      </c>
      <c r="D207" s="223" t="s">
        <v>407</v>
      </c>
      <c r="E207" s="240">
        <v>45913.0</v>
      </c>
      <c r="F207" s="90"/>
    </row>
    <row r="208" ht="22.5" customHeight="1">
      <c r="A208" s="221">
        <v>9000.0</v>
      </c>
      <c r="B208" s="223" t="s">
        <v>15</v>
      </c>
      <c r="C208" s="224" t="s">
        <v>320</v>
      </c>
      <c r="D208" s="223" t="s">
        <v>408</v>
      </c>
      <c r="E208" s="240">
        <v>45918.0</v>
      </c>
      <c r="F208" s="90"/>
    </row>
    <row r="209" ht="22.5" customHeight="1">
      <c r="A209" s="221">
        <v>5400.0</v>
      </c>
      <c r="B209" s="223" t="s">
        <v>15</v>
      </c>
      <c r="C209" s="224" t="s">
        <v>251</v>
      </c>
      <c r="D209" s="223" t="s">
        <v>409</v>
      </c>
      <c r="E209" s="240">
        <v>45919.0</v>
      </c>
      <c r="F209" s="90"/>
    </row>
    <row r="210" ht="22.5" customHeight="1">
      <c r="A210" s="221">
        <v>5000.0</v>
      </c>
      <c r="B210" s="223" t="s">
        <v>15</v>
      </c>
      <c r="C210" s="224" t="s">
        <v>320</v>
      </c>
      <c r="D210" s="223" t="s">
        <v>410</v>
      </c>
      <c r="E210" s="240">
        <v>45919.0</v>
      </c>
      <c r="F210" s="90"/>
    </row>
    <row r="211" ht="22.5" customHeight="1">
      <c r="A211" s="221">
        <v>10500.0</v>
      </c>
      <c r="B211" s="223" t="s">
        <v>15</v>
      </c>
      <c r="C211" s="224" t="s">
        <v>249</v>
      </c>
      <c r="D211" s="223" t="s">
        <v>411</v>
      </c>
      <c r="E211" s="240">
        <v>45919.0</v>
      </c>
      <c r="F211" s="90"/>
    </row>
    <row r="212" ht="22.5" customHeight="1">
      <c r="A212" s="221">
        <v>300.0</v>
      </c>
      <c r="B212" s="223" t="s">
        <v>26</v>
      </c>
      <c r="C212" s="224" t="s">
        <v>251</v>
      </c>
      <c r="D212" s="223" t="s">
        <v>412</v>
      </c>
      <c r="E212" s="240">
        <v>45921.0</v>
      </c>
      <c r="F212" s="90"/>
    </row>
    <row r="213" ht="22.5" customHeight="1">
      <c r="A213" s="221">
        <v>60000.0</v>
      </c>
      <c r="B213" s="223" t="s">
        <v>15</v>
      </c>
      <c r="C213" s="224" t="s">
        <v>269</v>
      </c>
      <c r="D213" s="223" t="s">
        <v>413</v>
      </c>
      <c r="E213" s="240">
        <v>45924.0</v>
      </c>
      <c r="F213" s="90"/>
    </row>
    <row r="214" ht="22.5" customHeight="1">
      <c r="A214" s="221">
        <v>55498.0</v>
      </c>
      <c r="B214" s="223" t="s">
        <v>15</v>
      </c>
      <c r="C214" s="224" t="s">
        <v>269</v>
      </c>
      <c r="D214" s="223" t="s">
        <v>414</v>
      </c>
      <c r="E214" s="240">
        <v>45924.0</v>
      </c>
      <c r="F214" s="90"/>
    </row>
    <row r="215" ht="22.5" customHeight="1">
      <c r="A215" s="221">
        <v>46000.0</v>
      </c>
      <c r="B215" s="223" t="s">
        <v>15</v>
      </c>
      <c r="C215" s="224" t="s">
        <v>249</v>
      </c>
      <c r="D215" s="223" t="s">
        <v>393</v>
      </c>
      <c r="E215" s="240">
        <v>45925.0</v>
      </c>
      <c r="F215" s="90"/>
    </row>
    <row r="216" ht="22.5" customHeight="1">
      <c r="A216" s="221">
        <v>15621.1</v>
      </c>
      <c r="B216" s="223" t="s">
        <v>15</v>
      </c>
      <c r="C216" s="224" t="s">
        <v>269</v>
      </c>
      <c r="D216" s="223" t="s">
        <v>415</v>
      </c>
      <c r="E216" s="240">
        <v>45927.0</v>
      </c>
      <c r="F216" s="90"/>
    </row>
    <row r="217" ht="22.5" customHeight="1">
      <c r="A217" s="221">
        <v>7000.0</v>
      </c>
      <c r="B217" s="223" t="s">
        <v>15</v>
      </c>
      <c r="C217" s="224" t="s">
        <v>269</v>
      </c>
      <c r="D217" s="223" t="s">
        <v>416</v>
      </c>
      <c r="E217" s="240">
        <v>45928.0</v>
      </c>
      <c r="F217" s="90"/>
    </row>
    <row r="218" ht="22.5" customHeight="1">
      <c r="A218" s="221">
        <v>1100.0</v>
      </c>
      <c r="B218" s="223" t="s">
        <v>15</v>
      </c>
      <c r="C218" s="224" t="s">
        <v>251</v>
      </c>
      <c r="D218" s="223" t="s">
        <v>397</v>
      </c>
      <c r="E218" s="240">
        <v>45928.0</v>
      </c>
      <c r="F218" s="90"/>
    </row>
    <row r="219" ht="22.5" customHeight="1">
      <c r="A219" s="221">
        <v>21555.0</v>
      </c>
      <c r="B219" s="223" t="s">
        <v>15</v>
      </c>
      <c r="C219" s="224" t="s">
        <v>291</v>
      </c>
      <c r="D219" s="223" t="s">
        <v>417</v>
      </c>
      <c r="E219" s="240">
        <v>45930.0</v>
      </c>
      <c r="F219" s="90"/>
    </row>
    <row r="220" ht="22.5" customHeight="1">
      <c r="A220" s="221">
        <v>8000.0</v>
      </c>
      <c r="B220" s="223" t="s">
        <v>15</v>
      </c>
      <c r="C220" s="224" t="s">
        <v>251</v>
      </c>
      <c r="D220" s="223" t="s">
        <v>418</v>
      </c>
      <c r="E220" s="240">
        <v>45933.0</v>
      </c>
      <c r="F220" s="90"/>
    </row>
    <row r="221" ht="22.5" customHeight="1">
      <c r="A221" s="221">
        <v>14000.0</v>
      </c>
      <c r="B221" s="223" t="s">
        <v>15</v>
      </c>
      <c r="C221" s="224" t="s">
        <v>246</v>
      </c>
      <c r="D221" s="223" t="s">
        <v>164</v>
      </c>
      <c r="E221" s="240">
        <v>45933.0</v>
      </c>
      <c r="F221" s="90"/>
    </row>
    <row r="222" ht="22.5" customHeight="1">
      <c r="A222" s="221">
        <v>1200.0</v>
      </c>
      <c r="B222" s="223" t="s">
        <v>15</v>
      </c>
      <c r="C222" s="224" t="s">
        <v>251</v>
      </c>
      <c r="D222" s="223" t="s">
        <v>348</v>
      </c>
      <c r="E222" s="240">
        <v>45933.0</v>
      </c>
      <c r="F222" s="90"/>
    </row>
    <row r="223" ht="22.5" customHeight="1">
      <c r="A223" s="221">
        <v>24000.0</v>
      </c>
      <c r="B223" s="223" t="s">
        <v>15</v>
      </c>
      <c r="C223" s="224" t="s">
        <v>269</v>
      </c>
      <c r="D223" s="223" t="s">
        <v>419</v>
      </c>
      <c r="E223" s="240">
        <v>45935.0</v>
      </c>
      <c r="F223" s="90"/>
    </row>
    <row r="224" ht="22.5" customHeight="1">
      <c r="A224" s="221">
        <v>5000.0</v>
      </c>
      <c r="B224" s="223" t="s">
        <v>15</v>
      </c>
      <c r="C224" s="224" t="s">
        <v>274</v>
      </c>
      <c r="D224" s="223" t="s">
        <v>164</v>
      </c>
      <c r="E224" s="240">
        <v>45937.0</v>
      </c>
      <c r="F224" s="90"/>
    </row>
    <row r="225" ht="22.5" customHeight="1">
      <c r="A225" s="221">
        <v>15149.37</v>
      </c>
      <c r="B225" s="223" t="s">
        <v>15</v>
      </c>
      <c r="C225" s="224" t="s">
        <v>269</v>
      </c>
      <c r="D225" s="223" t="s">
        <v>420</v>
      </c>
      <c r="E225" s="240">
        <v>45939.0</v>
      </c>
      <c r="F225" s="90"/>
    </row>
    <row r="226" ht="22.5" customHeight="1">
      <c r="A226" s="221">
        <v>5000.0</v>
      </c>
      <c r="B226" s="223" t="s">
        <v>15</v>
      </c>
      <c r="C226" s="224" t="s">
        <v>274</v>
      </c>
      <c r="D226" s="223" t="s">
        <v>164</v>
      </c>
      <c r="E226" s="240">
        <v>45941.0</v>
      </c>
      <c r="F226" s="90"/>
    </row>
    <row r="227" ht="22.5" customHeight="1">
      <c r="A227" s="221">
        <v>30000.0</v>
      </c>
      <c r="B227" s="225" t="s">
        <v>26</v>
      </c>
      <c r="C227" s="224" t="s">
        <v>269</v>
      </c>
      <c r="D227" s="223" t="s">
        <v>421</v>
      </c>
      <c r="E227" s="240">
        <v>45941.0</v>
      </c>
      <c r="F227" s="90"/>
    </row>
    <row r="228" ht="22.5" customHeight="1">
      <c r="A228" s="221">
        <v>24442.0</v>
      </c>
      <c r="B228" s="223" t="s">
        <v>15</v>
      </c>
      <c r="C228" s="224" t="s">
        <v>269</v>
      </c>
      <c r="D228" s="223" t="s">
        <v>422</v>
      </c>
      <c r="E228" s="240">
        <v>45942.0</v>
      </c>
      <c r="F228" s="90"/>
    </row>
    <row r="229" ht="22.5" customHeight="1">
      <c r="A229" s="221">
        <v>6300.0</v>
      </c>
      <c r="B229" s="223" t="s">
        <v>15</v>
      </c>
      <c r="C229" s="224" t="s">
        <v>269</v>
      </c>
      <c r="D229" s="223" t="s">
        <v>423</v>
      </c>
      <c r="E229" s="240">
        <v>45942.0</v>
      </c>
      <c r="F229" s="90"/>
    </row>
    <row r="230" ht="22.5" customHeight="1">
      <c r="A230" s="221">
        <v>16870.03</v>
      </c>
      <c r="B230" s="223" t="s">
        <v>15</v>
      </c>
      <c r="C230" s="224" t="s">
        <v>269</v>
      </c>
      <c r="D230" s="223" t="s">
        <v>424</v>
      </c>
      <c r="E230" s="240">
        <v>45944.0</v>
      </c>
      <c r="F230" s="90"/>
    </row>
    <row r="231" ht="22.5" customHeight="1">
      <c r="A231" s="221">
        <v>2970.0</v>
      </c>
      <c r="B231" s="223" t="s">
        <v>15</v>
      </c>
      <c r="C231" s="224" t="s">
        <v>251</v>
      </c>
      <c r="D231" s="223" t="s">
        <v>425</v>
      </c>
      <c r="E231" s="240">
        <v>45946.0</v>
      </c>
      <c r="F231" s="90"/>
    </row>
    <row r="232" ht="22.5" customHeight="1">
      <c r="A232" s="221">
        <v>5000.0</v>
      </c>
      <c r="B232" s="223" t="s">
        <v>15</v>
      </c>
      <c r="C232" s="224" t="s">
        <v>378</v>
      </c>
      <c r="D232" s="223" t="s">
        <v>426</v>
      </c>
      <c r="E232" s="240">
        <v>45946.0</v>
      </c>
      <c r="F232" s="90"/>
    </row>
    <row r="233" ht="22.5" customHeight="1">
      <c r="A233" s="221">
        <v>5300.0</v>
      </c>
      <c r="B233" s="223" t="s">
        <v>15</v>
      </c>
      <c r="C233" s="224" t="s">
        <v>269</v>
      </c>
      <c r="D233" s="223" t="s">
        <v>427</v>
      </c>
      <c r="E233" s="240">
        <v>45946.0</v>
      </c>
      <c r="F233" s="90"/>
    </row>
    <row r="234" ht="22.5" customHeight="1">
      <c r="A234" s="221">
        <v>3000.0</v>
      </c>
      <c r="B234" s="223" t="s">
        <v>15</v>
      </c>
      <c r="C234" s="224" t="s">
        <v>378</v>
      </c>
      <c r="D234" s="223" t="s">
        <v>428</v>
      </c>
      <c r="E234" s="240">
        <v>45946.0</v>
      </c>
      <c r="F234" s="90"/>
    </row>
    <row r="235" ht="22.5" customHeight="1">
      <c r="A235" s="221">
        <v>10000.0</v>
      </c>
      <c r="B235" s="223" t="s">
        <v>26</v>
      </c>
      <c r="C235" s="224" t="s">
        <v>121</v>
      </c>
      <c r="D235" s="223" t="s">
        <v>429</v>
      </c>
      <c r="E235" s="240">
        <v>45947.0</v>
      </c>
      <c r="F235" s="90"/>
    </row>
    <row r="236" ht="22.5" customHeight="1">
      <c r="A236" s="221">
        <v>4000.0</v>
      </c>
      <c r="B236" s="223" t="s">
        <v>26</v>
      </c>
      <c r="C236" s="224" t="s">
        <v>269</v>
      </c>
      <c r="D236" s="223" t="s">
        <v>377</v>
      </c>
      <c r="E236" s="240">
        <v>45947.0</v>
      </c>
      <c r="F236" s="90"/>
    </row>
    <row r="237" ht="22.5" customHeight="1">
      <c r="A237" s="221">
        <v>3000.0</v>
      </c>
      <c r="B237" s="223" t="s">
        <v>15</v>
      </c>
      <c r="C237" s="224" t="s">
        <v>314</v>
      </c>
      <c r="D237" s="223" t="s">
        <v>430</v>
      </c>
      <c r="E237" s="240">
        <v>45948.0</v>
      </c>
      <c r="F237" s="90"/>
    </row>
    <row r="238" ht="22.5" customHeight="1">
      <c r="A238" s="221">
        <v>9500.0</v>
      </c>
      <c r="B238" s="223" t="s">
        <v>15</v>
      </c>
      <c r="C238" s="224" t="s">
        <v>378</v>
      </c>
      <c r="D238" s="223" t="s">
        <v>431</v>
      </c>
      <c r="E238" s="240">
        <v>45948.0</v>
      </c>
      <c r="F238" s="90"/>
    </row>
    <row r="239" ht="22.5" customHeight="1">
      <c r="A239" s="221">
        <v>5000.0</v>
      </c>
      <c r="B239" s="223" t="s">
        <v>26</v>
      </c>
      <c r="C239" s="224" t="s">
        <v>269</v>
      </c>
      <c r="D239" s="223" t="s">
        <v>432</v>
      </c>
      <c r="E239" s="240">
        <v>45950.0</v>
      </c>
      <c r="F239" s="90"/>
    </row>
    <row r="240" ht="22.5" customHeight="1">
      <c r="A240" s="221">
        <v>39000.0</v>
      </c>
      <c r="B240" s="223" t="s">
        <v>15</v>
      </c>
      <c r="C240" s="224" t="s">
        <v>249</v>
      </c>
      <c r="D240" s="223" t="s">
        <v>433</v>
      </c>
      <c r="E240" s="240">
        <v>45951.0</v>
      </c>
      <c r="F240" s="90"/>
    </row>
    <row r="241" ht="22.5" customHeight="1">
      <c r="A241" s="221">
        <v>5500.0</v>
      </c>
      <c r="B241" s="223" t="s">
        <v>26</v>
      </c>
      <c r="C241" s="224" t="s">
        <v>249</v>
      </c>
      <c r="D241" s="223" t="s">
        <v>434</v>
      </c>
      <c r="E241" s="240">
        <v>45951.0</v>
      </c>
      <c r="F241" s="90"/>
    </row>
    <row r="242" ht="22.5" customHeight="1">
      <c r="A242" s="230">
        <v>500.0</v>
      </c>
      <c r="B242" s="228" t="s">
        <v>26</v>
      </c>
      <c r="C242" s="231" t="s">
        <v>125</v>
      </c>
      <c r="D242" s="228" t="s">
        <v>164</v>
      </c>
      <c r="E242" s="232">
        <v>45954.0</v>
      </c>
      <c r="F242" s="90"/>
    </row>
    <row r="243" ht="22.5" customHeight="1">
      <c r="A243" s="230">
        <v>10000.0</v>
      </c>
      <c r="B243" s="228" t="s">
        <v>26</v>
      </c>
      <c r="C243" s="231" t="s">
        <v>378</v>
      </c>
      <c r="D243" s="228" t="s">
        <v>435</v>
      </c>
      <c r="E243" s="232">
        <v>45955.0</v>
      </c>
      <c r="F243" s="90"/>
    </row>
    <row r="244" ht="22.5" customHeight="1">
      <c r="A244" s="221">
        <v>50000.0</v>
      </c>
      <c r="B244" s="223" t="s">
        <v>26</v>
      </c>
      <c r="C244" s="224" t="s">
        <v>364</v>
      </c>
      <c r="D244" s="223" t="s">
        <v>436</v>
      </c>
      <c r="E244" s="240">
        <v>45955.0</v>
      </c>
      <c r="F244" s="90"/>
    </row>
    <row r="245" ht="22.5" customHeight="1">
      <c r="A245" s="221">
        <v>19500.0</v>
      </c>
      <c r="B245" s="223" t="s">
        <v>26</v>
      </c>
      <c r="C245" s="224" t="s">
        <v>269</v>
      </c>
      <c r="D245" s="223" t="s">
        <v>437</v>
      </c>
      <c r="E245" s="240">
        <v>45956.0</v>
      </c>
      <c r="F245" s="90"/>
    </row>
    <row r="246" ht="22.5" customHeight="1">
      <c r="A246" s="221">
        <v>5100.0</v>
      </c>
      <c r="B246" s="223" t="s">
        <v>26</v>
      </c>
      <c r="C246" s="224" t="s">
        <v>438</v>
      </c>
      <c r="D246" s="223" t="s">
        <v>439</v>
      </c>
      <c r="E246" s="240">
        <v>45957.0</v>
      </c>
      <c r="F246" s="90"/>
    </row>
    <row r="247" ht="22.5" customHeight="1">
      <c r="A247" s="221">
        <v>15000.0</v>
      </c>
      <c r="B247" s="223" t="s">
        <v>26</v>
      </c>
      <c r="C247" s="224" t="s">
        <v>274</v>
      </c>
      <c r="D247" s="223" t="s">
        <v>164</v>
      </c>
      <c r="E247" s="240">
        <v>45957.0</v>
      </c>
      <c r="F247" s="90"/>
    </row>
    <row r="248" ht="22.5" customHeight="1">
      <c r="A248" s="221">
        <v>23000.0</v>
      </c>
      <c r="B248" s="223" t="s">
        <v>26</v>
      </c>
      <c r="C248" s="224" t="s">
        <v>249</v>
      </c>
      <c r="D248" s="223" t="s">
        <v>440</v>
      </c>
      <c r="E248" s="240">
        <v>45959.0</v>
      </c>
      <c r="F248" s="90"/>
    </row>
    <row r="249" ht="22.5" customHeight="1">
      <c r="A249" s="221">
        <v>14000.0</v>
      </c>
      <c r="B249" s="223" t="s">
        <v>26</v>
      </c>
      <c r="C249" s="224" t="s">
        <v>246</v>
      </c>
      <c r="D249" s="223" t="s">
        <v>226</v>
      </c>
      <c r="E249" s="240">
        <v>45960.0</v>
      </c>
      <c r="F249" s="90"/>
    </row>
    <row r="250" ht="22.5" customHeight="1">
      <c r="A250" s="221">
        <v>1800.0</v>
      </c>
      <c r="B250" s="223" t="s">
        <v>26</v>
      </c>
      <c r="C250" s="224" t="s">
        <v>251</v>
      </c>
      <c r="D250" s="223" t="s">
        <v>441</v>
      </c>
      <c r="E250" s="240">
        <v>45960.0</v>
      </c>
      <c r="F250" s="90"/>
    </row>
    <row r="251" ht="22.5" customHeight="1">
      <c r="A251" s="221">
        <v>24300.0</v>
      </c>
      <c r="B251" s="223" t="s">
        <v>26</v>
      </c>
      <c r="C251" s="224" t="s">
        <v>269</v>
      </c>
      <c r="D251" s="223" t="s">
        <v>442</v>
      </c>
      <c r="E251" s="240">
        <v>45961.0</v>
      </c>
      <c r="F251" s="90"/>
    </row>
    <row r="252" ht="22.5" customHeight="1">
      <c r="A252" s="221">
        <v>29437.92</v>
      </c>
      <c r="B252" s="223" t="s">
        <v>15</v>
      </c>
      <c r="C252" s="224" t="s">
        <v>269</v>
      </c>
      <c r="D252" s="223" t="s">
        <v>442</v>
      </c>
      <c r="E252" s="240">
        <v>45961.0</v>
      </c>
      <c r="F252" s="90"/>
    </row>
    <row r="253" ht="22.5" customHeight="1">
      <c r="A253" s="221">
        <v>5000.0</v>
      </c>
      <c r="B253" s="223" t="s">
        <v>26</v>
      </c>
      <c r="C253" s="224" t="s">
        <v>364</v>
      </c>
      <c r="D253" s="223" t="s">
        <v>443</v>
      </c>
      <c r="E253" s="240">
        <v>45964.0</v>
      </c>
      <c r="F253" s="90"/>
    </row>
    <row r="254" ht="22.5" customHeight="1">
      <c r="A254" s="221">
        <v>40000.0</v>
      </c>
      <c r="B254" s="223" t="s">
        <v>26</v>
      </c>
      <c r="C254" s="224" t="s">
        <v>121</v>
      </c>
      <c r="D254" s="223" t="s">
        <v>444</v>
      </c>
      <c r="E254" s="240">
        <v>45964.0</v>
      </c>
      <c r="F254" s="90"/>
    </row>
    <row r="255" ht="22.5" customHeight="1">
      <c r="A255" s="221">
        <v>10000.0</v>
      </c>
      <c r="B255" s="223" t="s">
        <v>26</v>
      </c>
      <c r="C255" s="224" t="s">
        <v>121</v>
      </c>
      <c r="D255" s="223" t="s">
        <v>445</v>
      </c>
      <c r="E255" s="240">
        <v>45964.0</v>
      </c>
      <c r="F255" s="90"/>
    </row>
    <row r="256" ht="22.5" customHeight="1">
      <c r="A256" s="221">
        <v>20000.0</v>
      </c>
      <c r="B256" s="223" t="s">
        <v>26</v>
      </c>
      <c r="C256" s="224" t="s">
        <v>314</v>
      </c>
      <c r="D256" s="223" t="s">
        <v>446</v>
      </c>
      <c r="E256" s="240">
        <v>45964.0</v>
      </c>
      <c r="F256" s="90"/>
    </row>
    <row r="257" ht="22.5" customHeight="1">
      <c r="A257" s="221">
        <v>9200.0</v>
      </c>
      <c r="B257" s="223" t="s">
        <v>15</v>
      </c>
      <c r="C257" s="224" t="s">
        <v>371</v>
      </c>
      <c r="D257" s="223" t="s">
        <v>447</v>
      </c>
      <c r="E257" s="240">
        <v>45966.0</v>
      </c>
      <c r="F257" s="90"/>
    </row>
    <row r="258" ht="22.5" customHeight="1">
      <c r="A258" s="221">
        <v>3000.0</v>
      </c>
      <c r="B258" s="223" t="s">
        <v>26</v>
      </c>
      <c r="C258" s="224" t="s">
        <v>251</v>
      </c>
      <c r="D258" s="223" t="s">
        <v>305</v>
      </c>
      <c r="E258" s="240">
        <v>45968.0</v>
      </c>
      <c r="F258" s="90"/>
    </row>
    <row r="259" ht="22.5" customHeight="1">
      <c r="A259" s="221">
        <v>6000.0</v>
      </c>
      <c r="B259" s="223" t="s">
        <v>15</v>
      </c>
      <c r="C259" s="224" t="s">
        <v>269</v>
      </c>
      <c r="D259" s="223" t="s">
        <v>448</v>
      </c>
      <c r="E259" s="240">
        <v>45968.0</v>
      </c>
      <c r="F259" s="90"/>
    </row>
    <row r="260" ht="22.5" customHeight="1">
      <c r="A260" s="221">
        <v>10000.0</v>
      </c>
      <c r="B260" s="223" t="s">
        <v>26</v>
      </c>
      <c r="C260" s="224" t="s">
        <v>269</v>
      </c>
      <c r="D260" s="223" t="s">
        <v>449</v>
      </c>
      <c r="E260" s="240">
        <v>45970.0</v>
      </c>
      <c r="F260" s="90"/>
    </row>
    <row r="261" ht="22.5" customHeight="1">
      <c r="A261" s="221">
        <v>2087.7</v>
      </c>
      <c r="B261" s="223" t="s">
        <v>15</v>
      </c>
      <c r="C261" s="224" t="s">
        <v>298</v>
      </c>
      <c r="D261" s="223" t="s">
        <v>450</v>
      </c>
      <c r="E261" s="240">
        <v>45972.0</v>
      </c>
      <c r="F261" s="90"/>
    </row>
    <row r="262" ht="22.5" customHeight="1">
      <c r="A262" s="221">
        <v>4820.0</v>
      </c>
      <c r="B262" s="223" t="s">
        <v>26</v>
      </c>
      <c r="C262" s="224" t="s">
        <v>314</v>
      </c>
      <c r="D262" s="223" t="s">
        <v>430</v>
      </c>
      <c r="E262" s="240">
        <v>45973.0</v>
      </c>
      <c r="F262" s="90"/>
    </row>
    <row r="263" ht="22.5" customHeight="1">
      <c r="A263" s="221">
        <v>6000.0</v>
      </c>
      <c r="B263" s="223" t="s">
        <v>26</v>
      </c>
      <c r="C263" s="224" t="s">
        <v>269</v>
      </c>
      <c r="D263" s="223" t="s">
        <v>451</v>
      </c>
      <c r="E263" s="240">
        <v>45974.0</v>
      </c>
      <c r="F263" s="90"/>
    </row>
    <row r="264" ht="22.5" customHeight="1">
      <c r="A264" s="221">
        <v>900.0</v>
      </c>
      <c r="B264" s="223" t="s">
        <v>26</v>
      </c>
      <c r="C264" s="224" t="s">
        <v>269</v>
      </c>
      <c r="D264" s="223" t="s">
        <v>390</v>
      </c>
      <c r="E264" s="240">
        <v>45974.0</v>
      </c>
      <c r="F264" s="90"/>
    </row>
    <row r="265" ht="22.5" customHeight="1">
      <c r="A265" s="221">
        <v>3000.0</v>
      </c>
      <c r="B265" s="223" t="s">
        <v>26</v>
      </c>
      <c r="C265" s="224" t="s">
        <v>269</v>
      </c>
      <c r="D265" s="223" t="s">
        <v>452</v>
      </c>
      <c r="E265" s="240">
        <v>45975.0</v>
      </c>
      <c r="F265" s="90"/>
    </row>
    <row r="266" ht="22.5" customHeight="1">
      <c r="A266" s="221">
        <v>600.0</v>
      </c>
      <c r="B266" s="223" t="s">
        <v>26</v>
      </c>
      <c r="C266" s="224" t="s">
        <v>125</v>
      </c>
      <c r="D266" s="223" t="s">
        <v>164</v>
      </c>
      <c r="E266" s="240">
        <v>45976.0</v>
      </c>
      <c r="F266" s="90"/>
    </row>
    <row r="267" ht="22.5" customHeight="1">
      <c r="A267" s="221">
        <v>11500.0</v>
      </c>
      <c r="B267" s="223" t="s">
        <v>26</v>
      </c>
      <c r="C267" s="224" t="s">
        <v>269</v>
      </c>
      <c r="D267" s="223" t="s">
        <v>453</v>
      </c>
      <c r="E267" s="240">
        <v>45977.0</v>
      </c>
      <c r="F267" s="90"/>
    </row>
    <row r="268" ht="22.5" customHeight="1">
      <c r="A268" s="221">
        <v>2200.0</v>
      </c>
      <c r="B268" s="223" t="s">
        <v>26</v>
      </c>
      <c r="C268" s="224" t="s">
        <v>251</v>
      </c>
      <c r="D268" s="223" t="s">
        <v>454</v>
      </c>
      <c r="E268" s="240">
        <v>45978.0</v>
      </c>
      <c r="F268" s="90"/>
    </row>
    <row r="269" ht="22.5" customHeight="1">
      <c r="A269" s="221">
        <v>5600.0</v>
      </c>
      <c r="B269" s="223" t="s">
        <v>26</v>
      </c>
      <c r="C269" s="224" t="s">
        <v>251</v>
      </c>
      <c r="D269" s="223" t="s">
        <v>257</v>
      </c>
      <c r="E269" s="240">
        <v>45981.0</v>
      </c>
      <c r="F269" s="90"/>
    </row>
    <row r="270" ht="22.5" customHeight="1">
      <c r="A270" s="221">
        <v>8720.74</v>
      </c>
      <c r="B270" s="223" t="s">
        <v>15</v>
      </c>
      <c r="C270" s="224" t="s">
        <v>269</v>
      </c>
      <c r="D270" s="223" t="s">
        <v>455</v>
      </c>
      <c r="E270" s="240">
        <v>45982.0</v>
      </c>
      <c r="F270" s="90"/>
    </row>
    <row r="271" ht="22.5" customHeight="1">
      <c r="A271" s="221">
        <v>16000.0</v>
      </c>
      <c r="B271" s="223" t="s">
        <v>15</v>
      </c>
      <c r="C271" s="224" t="s">
        <v>246</v>
      </c>
      <c r="D271" s="223" t="s">
        <v>226</v>
      </c>
      <c r="E271" s="240">
        <v>45983.0</v>
      </c>
      <c r="F271" s="90"/>
    </row>
    <row r="272" ht="22.5" customHeight="1">
      <c r="A272" s="221">
        <v>14700.0</v>
      </c>
      <c r="B272" s="223" t="s">
        <v>15</v>
      </c>
      <c r="C272" s="224" t="s">
        <v>378</v>
      </c>
      <c r="D272" s="223" t="s">
        <v>456</v>
      </c>
      <c r="E272" s="240">
        <v>45984.0</v>
      </c>
      <c r="F272" s="90"/>
    </row>
    <row r="273" ht="22.5" customHeight="1">
      <c r="A273" s="221">
        <v>300.0</v>
      </c>
      <c r="B273" s="223" t="s">
        <v>15</v>
      </c>
      <c r="C273" s="224" t="s">
        <v>251</v>
      </c>
      <c r="D273" s="223" t="s">
        <v>226</v>
      </c>
      <c r="E273" s="240">
        <v>45985.0</v>
      </c>
      <c r="F273" s="90"/>
    </row>
    <row r="274" ht="22.5" customHeight="1">
      <c r="A274" s="221">
        <v>8600.0</v>
      </c>
      <c r="B274" s="223" t="s">
        <v>15</v>
      </c>
      <c r="C274" s="224" t="s">
        <v>378</v>
      </c>
      <c r="D274" s="223" t="s">
        <v>457</v>
      </c>
      <c r="E274" s="240">
        <v>45986.0</v>
      </c>
      <c r="F274" s="90"/>
    </row>
    <row r="275" ht="22.5" customHeight="1">
      <c r="A275" s="221">
        <v>46000.0</v>
      </c>
      <c r="B275" s="223" t="s">
        <v>26</v>
      </c>
      <c r="C275" s="224" t="s">
        <v>249</v>
      </c>
      <c r="D275" s="223" t="s">
        <v>164</v>
      </c>
      <c r="E275" s="240">
        <v>45986.0</v>
      </c>
      <c r="F275" s="90"/>
    </row>
    <row r="276" ht="22.5" customHeight="1">
      <c r="A276" s="221">
        <v>15500.0</v>
      </c>
      <c r="B276" s="223" t="s">
        <v>15</v>
      </c>
      <c r="C276" s="224" t="s">
        <v>378</v>
      </c>
      <c r="D276" s="223" t="s">
        <v>458</v>
      </c>
      <c r="E276" s="240">
        <v>45987.0</v>
      </c>
      <c r="F276" s="90"/>
    </row>
    <row r="277" ht="22.5" customHeight="1">
      <c r="A277" s="221">
        <v>5250.0</v>
      </c>
      <c r="B277" s="223" t="s">
        <v>15</v>
      </c>
      <c r="C277" s="224" t="s">
        <v>378</v>
      </c>
      <c r="D277" s="223" t="s">
        <v>459</v>
      </c>
      <c r="E277" s="240">
        <v>45988.0</v>
      </c>
      <c r="F277" s="90"/>
    </row>
    <row r="278" ht="22.5" customHeight="1">
      <c r="A278" s="221">
        <v>5000.0</v>
      </c>
      <c r="B278" s="223" t="s">
        <v>15</v>
      </c>
      <c r="C278" s="224" t="s">
        <v>251</v>
      </c>
      <c r="D278" s="223" t="s">
        <v>460</v>
      </c>
      <c r="E278" s="240">
        <v>45989.0</v>
      </c>
      <c r="F278" s="90"/>
    </row>
    <row r="279" ht="22.5" customHeight="1">
      <c r="A279" s="221">
        <v>40000.0</v>
      </c>
      <c r="B279" s="223" t="s">
        <v>15</v>
      </c>
      <c r="C279" s="224" t="s">
        <v>378</v>
      </c>
      <c r="D279" s="223" t="s">
        <v>461</v>
      </c>
      <c r="E279" s="240">
        <v>45992.0</v>
      </c>
      <c r="F279" s="90"/>
    </row>
    <row r="280" ht="22.5" customHeight="1">
      <c r="A280" s="221">
        <v>2500.0</v>
      </c>
      <c r="B280" s="223" t="s">
        <v>15</v>
      </c>
      <c r="C280" s="224" t="s">
        <v>125</v>
      </c>
      <c r="D280" s="223" t="s">
        <v>226</v>
      </c>
      <c r="E280" s="240">
        <v>45992.0</v>
      </c>
      <c r="F280" s="90"/>
    </row>
    <row r="281" ht="22.5" customHeight="1">
      <c r="A281" s="221">
        <v>14571.0</v>
      </c>
      <c r="B281" s="223" t="s">
        <v>15</v>
      </c>
      <c r="C281" s="224" t="s">
        <v>378</v>
      </c>
      <c r="D281" s="223" t="s">
        <v>462</v>
      </c>
      <c r="E281" s="240">
        <v>45994.0</v>
      </c>
      <c r="F281" s="90"/>
    </row>
    <row r="282" ht="22.5" customHeight="1">
      <c r="A282" s="221">
        <v>10000.0</v>
      </c>
      <c r="B282" s="223" t="s">
        <v>26</v>
      </c>
      <c r="C282" s="224" t="s">
        <v>121</v>
      </c>
      <c r="D282" s="223" t="s">
        <v>463</v>
      </c>
      <c r="E282" s="240">
        <v>45997.0</v>
      </c>
      <c r="F282" s="90"/>
    </row>
    <row r="283" ht="22.5" customHeight="1">
      <c r="A283" s="221">
        <v>11699.666666666666</v>
      </c>
      <c r="B283" s="223" t="s">
        <v>15</v>
      </c>
      <c r="C283" s="224" t="s">
        <v>314</v>
      </c>
      <c r="D283" s="223" t="s">
        <v>464</v>
      </c>
      <c r="E283" s="240">
        <v>45997.0</v>
      </c>
      <c r="F283" s="90"/>
    </row>
    <row r="284" ht="22.5" customHeight="1">
      <c r="A284" s="221">
        <v>11257.0</v>
      </c>
      <c r="B284" s="223" t="s">
        <v>15</v>
      </c>
      <c r="C284" s="224" t="s">
        <v>314</v>
      </c>
      <c r="D284" s="223" t="s">
        <v>465</v>
      </c>
      <c r="E284" s="240">
        <v>45997.0</v>
      </c>
      <c r="F284" s="90"/>
    </row>
    <row r="285" ht="22.5" customHeight="1">
      <c r="A285" s="221">
        <v>52000.0</v>
      </c>
      <c r="B285" s="223" t="s">
        <v>15</v>
      </c>
      <c r="C285" s="224" t="s">
        <v>314</v>
      </c>
      <c r="D285" s="223" t="s">
        <v>466</v>
      </c>
      <c r="E285" s="240">
        <v>45997.0</v>
      </c>
      <c r="F285" s="90"/>
    </row>
    <row r="286" ht="22.5" customHeight="1">
      <c r="A286" s="221">
        <v>17621.66</v>
      </c>
      <c r="B286" s="223" t="s">
        <v>15</v>
      </c>
      <c r="C286" s="224" t="s">
        <v>314</v>
      </c>
      <c r="D286" s="223" t="s">
        <v>467</v>
      </c>
      <c r="E286" s="240">
        <v>45997.0</v>
      </c>
      <c r="F286" s="90"/>
    </row>
    <row r="287" ht="22.5" customHeight="1">
      <c r="A287" s="221">
        <v>341000.0</v>
      </c>
      <c r="B287" s="223" t="s">
        <v>26</v>
      </c>
      <c r="C287" s="224" t="s">
        <v>314</v>
      </c>
      <c r="D287" s="223" t="s">
        <v>468</v>
      </c>
      <c r="E287" s="240">
        <v>45997.0</v>
      </c>
      <c r="F287" s="90"/>
    </row>
    <row r="288" ht="22.5" customHeight="1">
      <c r="A288" s="221">
        <v>16066.66</v>
      </c>
      <c r="B288" s="223" t="s">
        <v>15</v>
      </c>
      <c r="C288" s="224" t="s">
        <v>364</v>
      </c>
      <c r="D288" s="223" t="s">
        <v>212</v>
      </c>
      <c r="E288" s="240">
        <v>45997.0</v>
      </c>
      <c r="F288" s="90"/>
    </row>
    <row r="289" ht="22.5" customHeight="1">
      <c r="A289" s="221">
        <v>1446.27</v>
      </c>
      <c r="B289" s="223" t="s">
        <v>15</v>
      </c>
      <c r="C289" s="224" t="s">
        <v>125</v>
      </c>
      <c r="D289" s="223" t="s">
        <v>164</v>
      </c>
      <c r="E289" s="240">
        <v>45997.0</v>
      </c>
      <c r="F289" s="90"/>
    </row>
    <row r="290" ht="22.5" customHeight="1">
      <c r="A290" s="221">
        <v>3300.0</v>
      </c>
      <c r="B290" s="223" t="s">
        <v>26</v>
      </c>
      <c r="C290" s="224" t="s">
        <v>251</v>
      </c>
      <c r="D290" s="223" t="s">
        <v>469</v>
      </c>
      <c r="E290" s="240">
        <v>45997.0</v>
      </c>
      <c r="F290" s="90"/>
    </row>
    <row r="291" ht="22.5" customHeight="1">
      <c r="A291" s="221">
        <v>32572.4</v>
      </c>
      <c r="B291" s="223" t="s">
        <v>15</v>
      </c>
      <c r="C291" s="224" t="s">
        <v>269</v>
      </c>
      <c r="D291" s="223" t="s">
        <v>470</v>
      </c>
      <c r="E291" s="240">
        <v>46000.0</v>
      </c>
      <c r="F291" s="90"/>
    </row>
    <row r="292" ht="22.5" customHeight="1">
      <c r="A292" s="221">
        <v>3500.0</v>
      </c>
      <c r="B292" s="223" t="s">
        <v>15</v>
      </c>
      <c r="C292" s="224" t="s">
        <v>371</v>
      </c>
      <c r="D292" s="223" t="s">
        <v>471</v>
      </c>
      <c r="E292" s="240">
        <v>46000.0</v>
      </c>
      <c r="F292" s="90"/>
    </row>
    <row r="293" ht="22.5" customHeight="1">
      <c r="A293" s="221">
        <v>11000.0</v>
      </c>
      <c r="B293" s="223" t="s">
        <v>15</v>
      </c>
      <c r="C293" s="224" t="s">
        <v>378</v>
      </c>
      <c r="D293" s="223" t="s">
        <v>472</v>
      </c>
      <c r="E293" s="240">
        <v>46001.0</v>
      </c>
      <c r="F293" s="90"/>
    </row>
    <row r="294" ht="22.5" customHeight="1">
      <c r="A294" s="221">
        <v>29400.0</v>
      </c>
      <c r="B294" s="223" t="s">
        <v>15</v>
      </c>
      <c r="C294" s="224" t="s">
        <v>371</v>
      </c>
      <c r="D294" s="223" t="s">
        <v>473</v>
      </c>
      <c r="E294" s="240">
        <v>46002.0</v>
      </c>
      <c r="F294" s="90"/>
    </row>
    <row r="295" ht="22.5" customHeight="1">
      <c r="A295" s="221">
        <v>9000.0</v>
      </c>
      <c r="B295" s="223" t="s">
        <v>26</v>
      </c>
      <c r="C295" s="224" t="s">
        <v>371</v>
      </c>
      <c r="D295" s="223" t="s">
        <v>474</v>
      </c>
      <c r="E295" s="240">
        <v>46002.0</v>
      </c>
      <c r="F295" s="90"/>
    </row>
    <row r="296" ht="22.5" customHeight="1">
      <c r="A296" s="221">
        <v>3800.0</v>
      </c>
      <c r="B296" s="223" t="s">
        <v>26</v>
      </c>
      <c r="C296" s="224" t="s">
        <v>378</v>
      </c>
      <c r="D296" s="223" t="s">
        <v>475</v>
      </c>
      <c r="E296" s="240">
        <v>46002.0</v>
      </c>
      <c r="F296" s="90"/>
    </row>
    <row r="297" ht="22.5" customHeight="1">
      <c r="A297" s="221">
        <v>3600.0</v>
      </c>
      <c r="B297" s="223" t="s">
        <v>26</v>
      </c>
      <c r="C297" s="224" t="s">
        <v>378</v>
      </c>
      <c r="D297" s="223" t="s">
        <v>476</v>
      </c>
      <c r="E297" s="240">
        <v>46003.0</v>
      </c>
      <c r="F297" s="90"/>
    </row>
    <row r="298" ht="22.5" customHeight="1">
      <c r="A298" s="221">
        <v>4000.0</v>
      </c>
      <c r="B298" s="223" t="s">
        <v>15</v>
      </c>
      <c r="C298" s="224" t="s">
        <v>378</v>
      </c>
      <c r="D298" s="223" t="s">
        <v>461</v>
      </c>
      <c r="E298" s="240">
        <v>46003.0</v>
      </c>
      <c r="F298" s="90"/>
    </row>
    <row r="299" ht="22.5" customHeight="1">
      <c r="A299" s="221">
        <v>4050.0</v>
      </c>
      <c r="B299" s="223" t="s">
        <v>15</v>
      </c>
      <c r="C299" s="224" t="s">
        <v>314</v>
      </c>
      <c r="D299" s="223" t="s">
        <v>430</v>
      </c>
      <c r="E299" s="240">
        <v>46004.0</v>
      </c>
      <c r="F299" s="90"/>
    </row>
    <row r="300" ht="22.5" customHeight="1">
      <c r="A300" s="221">
        <v>6600.0</v>
      </c>
      <c r="B300" s="223" t="s">
        <v>26</v>
      </c>
      <c r="C300" s="224" t="s">
        <v>291</v>
      </c>
      <c r="D300" s="223" t="s">
        <v>477</v>
      </c>
      <c r="E300" s="240">
        <v>46005.0</v>
      </c>
      <c r="F300" s="90"/>
    </row>
    <row r="301" ht="22.5" customHeight="1">
      <c r="A301" s="221">
        <v>10000.0</v>
      </c>
      <c r="B301" s="223" t="s">
        <v>15</v>
      </c>
      <c r="C301" s="224" t="s">
        <v>121</v>
      </c>
      <c r="D301" s="223" t="s">
        <v>478</v>
      </c>
      <c r="E301" s="240">
        <v>46006.0</v>
      </c>
      <c r="F301" s="90"/>
    </row>
    <row r="302" ht="22.5" customHeight="1">
      <c r="A302" s="221">
        <v>11000.0</v>
      </c>
      <c r="B302" s="223" t="s">
        <v>26</v>
      </c>
      <c r="C302" s="224" t="s">
        <v>125</v>
      </c>
      <c r="D302" s="223" t="s">
        <v>479</v>
      </c>
      <c r="E302" s="240">
        <v>46006.0</v>
      </c>
      <c r="F302" s="90"/>
    </row>
    <row r="303" ht="22.5" customHeight="1">
      <c r="A303" s="221">
        <v>14000.0</v>
      </c>
      <c r="B303" s="223" t="s">
        <v>15</v>
      </c>
      <c r="C303" s="224" t="s">
        <v>378</v>
      </c>
      <c r="D303" s="223" t="s">
        <v>480</v>
      </c>
      <c r="E303" s="240">
        <v>46007.0</v>
      </c>
      <c r="F303" s="90"/>
    </row>
    <row r="304" ht="22.5" customHeight="1">
      <c r="A304" s="221">
        <v>7900.0</v>
      </c>
      <c r="B304" s="223" t="s">
        <v>15</v>
      </c>
      <c r="C304" s="224" t="s">
        <v>378</v>
      </c>
      <c r="D304" s="223" t="s">
        <v>481</v>
      </c>
      <c r="E304" s="240">
        <v>46008.0</v>
      </c>
      <c r="F304" s="90"/>
    </row>
    <row r="305" ht="22.5" customHeight="1">
      <c r="A305" s="221">
        <v>2200.0</v>
      </c>
      <c r="B305" s="223" t="s">
        <v>15</v>
      </c>
      <c r="C305" s="224" t="s">
        <v>251</v>
      </c>
      <c r="D305" s="223" t="s">
        <v>482</v>
      </c>
      <c r="E305" s="240">
        <v>46009.0</v>
      </c>
      <c r="F305" s="90"/>
    </row>
    <row r="306" ht="22.5" customHeight="1">
      <c r="A306" s="221">
        <v>43187.7</v>
      </c>
      <c r="B306" s="223" t="s">
        <v>15</v>
      </c>
      <c r="C306" s="224" t="s">
        <v>371</v>
      </c>
      <c r="D306" s="223" t="s">
        <v>483</v>
      </c>
      <c r="E306" s="240">
        <v>46009.0</v>
      </c>
      <c r="F306" s="90"/>
    </row>
    <row r="307" ht="22.5" customHeight="1">
      <c r="A307" s="221">
        <v>11100.0</v>
      </c>
      <c r="B307" s="223" t="s">
        <v>15</v>
      </c>
      <c r="C307" s="224" t="s">
        <v>378</v>
      </c>
      <c r="D307" s="223" t="s">
        <v>484</v>
      </c>
      <c r="E307" s="240">
        <v>46009.0</v>
      </c>
      <c r="F307" s="90"/>
    </row>
    <row r="308" ht="22.5" customHeight="1">
      <c r="A308" s="221">
        <v>31.8</v>
      </c>
      <c r="B308" s="223" t="s">
        <v>35</v>
      </c>
      <c r="C308" s="224" t="s">
        <v>371</v>
      </c>
      <c r="D308" s="223" t="s">
        <v>485</v>
      </c>
      <c r="E308" s="240">
        <v>46010.0</v>
      </c>
      <c r="F308" s="90"/>
    </row>
    <row r="309" ht="22.5" customHeight="1">
      <c r="A309" s="221">
        <v>8000.0</v>
      </c>
      <c r="B309" s="223" t="s">
        <v>15</v>
      </c>
      <c r="C309" s="224" t="s">
        <v>378</v>
      </c>
      <c r="D309" s="223" t="s">
        <v>486</v>
      </c>
      <c r="E309" s="240">
        <v>46011.0</v>
      </c>
      <c r="F309" s="90"/>
    </row>
    <row r="310" ht="22.5" customHeight="1">
      <c r="A310" s="221">
        <v>3000.0</v>
      </c>
      <c r="B310" s="223" t="s">
        <v>26</v>
      </c>
      <c r="C310" s="224" t="s">
        <v>378</v>
      </c>
      <c r="D310" s="223" t="s">
        <v>487</v>
      </c>
      <c r="E310" s="240">
        <v>46011.0</v>
      </c>
      <c r="F310" s="90"/>
    </row>
    <row r="311" ht="22.5" customHeight="1">
      <c r="A311" s="221">
        <v>2000.0</v>
      </c>
      <c r="B311" s="223" t="s">
        <v>26</v>
      </c>
      <c r="C311" s="224" t="s">
        <v>125</v>
      </c>
      <c r="D311" s="223" t="s">
        <v>164</v>
      </c>
      <c r="E311" s="240">
        <v>46011.0</v>
      </c>
      <c r="F311" s="90"/>
    </row>
    <row r="312" ht="22.5" customHeight="1">
      <c r="A312" s="221">
        <v>13700.0</v>
      </c>
      <c r="B312" s="223" t="s">
        <v>15</v>
      </c>
      <c r="C312" s="224" t="s">
        <v>378</v>
      </c>
      <c r="D312" s="223" t="s">
        <v>488</v>
      </c>
      <c r="E312" s="240">
        <v>46012.0</v>
      </c>
      <c r="F312" s="90"/>
    </row>
    <row r="313" ht="22.5" customHeight="1">
      <c r="A313" s="221">
        <v>3200.0</v>
      </c>
      <c r="B313" s="223" t="s">
        <v>15</v>
      </c>
      <c r="C313" s="224" t="s">
        <v>378</v>
      </c>
      <c r="D313" s="223" t="s">
        <v>489</v>
      </c>
      <c r="E313" s="240">
        <v>46012.0</v>
      </c>
      <c r="F313" s="90"/>
    </row>
    <row r="314" ht="22.5" customHeight="1">
      <c r="A314" s="221">
        <v>100000.0</v>
      </c>
      <c r="B314" s="223" t="s">
        <v>15</v>
      </c>
      <c r="C314" s="224" t="s">
        <v>371</v>
      </c>
      <c r="D314" s="223" t="s">
        <v>490</v>
      </c>
      <c r="E314" s="240">
        <v>46013.0</v>
      </c>
      <c r="F314" s="90"/>
    </row>
    <row r="315" ht="22.5" customHeight="1">
      <c r="A315" s="221">
        <v>13500.0</v>
      </c>
      <c r="B315" s="223" t="s">
        <v>15</v>
      </c>
      <c r="C315" s="224" t="s">
        <v>371</v>
      </c>
      <c r="D315" s="223" t="s">
        <v>491</v>
      </c>
      <c r="E315" s="240">
        <v>46013.0</v>
      </c>
      <c r="F315" s="90"/>
    </row>
    <row r="316" ht="22.5" customHeight="1">
      <c r="A316" s="221">
        <v>10000.0</v>
      </c>
      <c r="B316" s="223" t="s">
        <v>15</v>
      </c>
      <c r="C316" s="224" t="s">
        <v>274</v>
      </c>
      <c r="D316" s="223" t="s">
        <v>164</v>
      </c>
      <c r="E316" s="240">
        <v>46014.0</v>
      </c>
      <c r="F316" s="90"/>
    </row>
    <row r="317" ht="22.5" customHeight="1">
      <c r="A317" s="221">
        <v>840.0</v>
      </c>
      <c r="B317" s="223" t="s">
        <v>15</v>
      </c>
      <c r="C317" s="224" t="s">
        <v>251</v>
      </c>
      <c r="D317" s="223" t="s">
        <v>492</v>
      </c>
      <c r="E317" s="240">
        <v>46014.0</v>
      </c>
      <c r="F317" s="90"/>
    </row>
    <row r="318" ht="22.5" customHeight="1">
      <c r="A318" s="221">
        <v>20000.0</v>
      </c>
      <c r="B318" s="223" t="s">
        <v>15</v>
      </c>
      <c r="C318" s="224" t="s">
        <v>251</v>
      </c>
      <c r="D318" s="223" t="s">
        <v>493</v>
      </c>
      <c r="E318" s="240">
        <v>46015.0</v>
      </c>
      <c r="F318" s="90"/>
    </row>
    <row r="319" ht="22.5" customHeight="1">
      <c r="A319" s="221">
        <v>14000.0</v>
      </c>
      <c r="B319" s="223" t="s">
        <v>15</v>
      </c>
      <c r="C319" s="224" t="s">
        <v>378</v>
      </c>
      <c r="D319" s="223" t="s">
        <v>494</v>
      </c>
      <c r="E319" s="240">
        <v>46018.0</v>
      </c>
      <c r="F319" s="90"/>
    </row>
    <row r="320" ht="22.5" customHeight="1">
      <c r="A320" s="221">
        <v>23124.5</v>
      </c>
      <c r="B320" s="223" t="s">
        <v>15</v>
      </c>
      <c r="C320" s="224" t="s">
        <v>378</v>
      </c>
      <c r="D320" s="223" t="s">
        <v>495</v>
      </c>
      <c r="E320" s="240">
        <v>46018.0</v>
      </c>
      <c r="F320" s="90"/>
    </row>
    <row r="321" ht="22.5" customHeight="1">
      <c r="A321" s="221">
        <v>45000.0</v>
      </c>
      <c r="B321" s="223" t="s">
        <v>15</v>
      </c>
      <c r="C321" s="224" t="s">
        <v>249</v>
      </c>
      <c r="D321" s="223" t="s">
        <v>164</v>
      </c>
      <c r="E321" s="240">
        <v>46020.0</v>
      </c>
      <c r="F321" s="90"/>
    </row>
    <row r="322" ht="22.5" customHeight="1">
      <c r="A322" s="221">
        <v>6950.0</v>
      </c>
      <c r="B322" s="223" t="s">
        <v>15</v>
      </c>
      <c r="C322" s="224" t="s">
        <v>371</v>
      </c>
      <c r="D322" s="223" t="s">
        <v>85</v>
      </c>
      <c r="E322" s="240">
        <v>46021.0</v>
      </c>
      <c r="F322" s="90"/>
    </row>
    <row r="323" ht="22.5" customHeight="1">
      <c r="A323" s="221">
        <v>4000.0</v>
      </c>
      <c r="B323" s="223" t="s">
        <v>15</v>
      </c>
      <c r="C323" s="224" t="s">
        <v>269</v>
      </c>
      <c r="D323" s="223" t="s">
        <v>496</v>
      </c>
      <c r="E323" s="240">
        <v>46021.0</v>
      </c>
      <c r="F323" s="90"/>
    </row>
    <row r="324" ht="22.5" customHeight="1">
      <c r="A324" s="221">
        <v>4500.0</v>
      </c>
      <c r="B324" s="223" t="s">
        <v>15</v>
      </c>
      <c r="C324" s="224" t="s">
        <v>371</v>
      </c>
      <c r="D324" s="223" t="s">
        <v>497</v>
      </c>
      <c r="E324" s="240">
        <v>46021.0</v>
      </c>
      <c r="F324" s="90"/>
    </row>
    <row r="325" ht="22.5" customHeight="1">
      <c r="A325" s="221">
        <v>8100.0</v>
      </c>
      <c r="B325" s="223" t="s">
        <v>15</v>
      </c>
      <c r="C325" s="224" t="s">
        <v>371</v>
      </c>
      <c r="D325" s="223" t="s">
        <v>498</v>
      </c>
      <c r="E325" s="240">
        <v>46021.0</v>
      </c>
      <c r="F325" s="90"/>
    </row>
    <row r="326" ht="22.5" customHeight="1">
      <c r="A326" s="221">
        <v>10000.0</v>
      </c>
      <c r="B326" s="223" t="s">
        <v>15</v>
      </c>
      <c r="C326" s="224" t="s">
        <v>378</v>
      </c>
      <c r="D326" s="223" t="s">
        <v>499</v>
      </c>
      <c r="E326" s="240">
        <v>46022.0</v>
      </c>
      <c r="F326" s="90"/>
    </row>
    <row r="327" ht="22.5" customHeight="1">
      <c r="A327" s="221">
        <v>5000.0</v>
      </c>
      <c r="B327" s="223" t="s">
        <v>15</v>
      </c>
      <c r="C327" s="224" t="s">
        <v>438</v>
      </c>
      <c r="D327" s="223" t="s">
        <v>164</v>
      </c>
      <c r="E327" s="240">
        <v>46022.0</v>
      </c>
      <c r="F327" s="90"/>
    </row>
    <row r="328" ht="22.5" customHeight="1">
      <c r="A328" s="221">
        <v>300.0</v>
      </c>
      <c r="B328" s="223" t="s">
        <v>15</v>
      </c>
      <c r="C328" s="224" t="s">
        <v>251</v>
      </c>
      <c r="D328" s="223" t="s">
        <v>500</v>
      </c>
      <c r="E328" s="240">
        <v>46022.0</v>
      </c>
      <c r="F328" s="90"/>
    </row>
    <row r="329" ht="22.5" customHeight="1">
      <c r="A329" s="221">
        <v>3860.0</v>
      </c>
      <c r="B329" s="223" t="s">
        <v>15</v>
      </c>
      <c r="C329" s="224" t="s">
        <v>438</v>
      </c>
      <c r="D329" s="223" t="s">
        <v>164</v>
      </c>
      <c r="E329" s="240">
        <v>46023.0</v>
      </c>
      <c r="F329" s="90"/>
    </row>
    <row r="330" ht="22.5" customHeight="1">
      <c r="A330" s="221">
        <v>11161.0</v>
      </c>
      <c r="B330" s="223" t="s">
        <v>15</v>
      </c>
      <c r="C330" s="224" t="s">
        <v>378</v>
      </c>
      <c r="D330" s="223" t="s">
        <v>501</v>
      </c>
      <c r="E330" s="240">
        <v>46025.0</v>
      </c>
      <c r="F330" s="90"/>
    </row>
    <row r="331" ht="22.5" customHeight="1">
      <c r="A331" s="221">
        <v>10000.0</v>
      </c>
      <c r="B331" s="223" t="s">
        <v>15</v>
      </c>
      <c r="C331" s="224" t="s">
        <v>274</v>
      </c>
      <c r="D331" s="223" t="s">
        <v>164</v>
      </c>
      <c r="E331" s="240">
        <v>46025.0</v>
      </c>
      <c r="F331" s="90"/>
    </row>
    <row r="332" ht="22.5" customHeight="1">
      <c r="A332" s="221">
        <v>8000.0</v>
      </c>
      <c r="B332" s="223" t="s">
        <v>15</v>
      </c>
      <c r="C332" s="224" t="s">
        <v>251</v>
      </c>
      <c r="D332" s="223" t="s">
        <v>502</v>
      </c>
      <c r="E332" s="240">
        <v>46026.0</v>
      </c>
      <c r="F332" s="90"/>
    </row>
    <row r="333" ht="22.5" customHeight="1">
      <c r="A333" s="221">
        <v>396457.67</v>
      </c>
      <c r="B333" s="223" t="s">
        <v>15</v>
      </c>
      <c r="C333" s="224" t="s">
        <v>314</v>
      </c>
      <c r="D333" s="223" t="s">
        <v>503</v>
      </c>
      <c r="E333" s="240">
        <v>46027.0</v>
      </c>
      <c r="F333" s="90"/>
    </row>
    <row r="334" ht="22.5" customHeight="1">
      <c r="A334" s="221">
        <v>7200.0</v>
      </c>
      <c r="B334" s="223" t="s">
        <v>26</v>
      </c>
      <c r="C334" s="224" t="s">
        <v>251</v>
      </c>
      <c r="D334" s="223" t="s">
        <v>504</v>
      </c>
      <c r="E334" s="240">
        <v>46027.0</v>
      </c>
      <c r="F334" s="90"/>
    </row>
    <row r="335" ht="22.5" customHeight="1">
      <c r="A335" s="221">
        <v>2900.0</v>
      </c>
      <c r="B335" s="223" t="s">
        <v>15</v>
      </c>
      <c r="C335" s="224" t="s">
        <v>251</v>
      </c>
      <c r="D335" s="223" t="s">
        <v>505</v>
      </c>
      <c r="E335" s="240">
        <v>46027.0</v>
      </c>
      <c r="F335" s="90"/>
    </row>
    <row r="336" ht="22.5" customHeight="1">
      <c r="A336" s="221">
        <v>2400.0</v>
      </c>
      <c r="B336" s="223" t="s">
        <v>26</v>
      </c>
      <c r="C336" s="224" t="s">
        <v>251</v>
      </c>
      <c r="D336" s="223" t="s">
        <v>506</v>
      </c>
      <c r="E336" s="240">
        <v>46028.0</v>
      </c>
      <c r="F336" s="90"/>
    </row>
    <row r="337" ht="22.5" customHeight="1">
      <c r="A337" s="221">
        <v>6500.0</v>
      </c>
      <c r="B337" s="223" t="s">
        <v>15</v>
      </c>
      <c r="C337" s="224" t="s">
        <v>378</v>
      </c>
      <c r="D337" s="223" t="s">
        <v>507</v>
      </c>
      <c r="E337" s="240">
        <v>46028.0</v>
      </c>
      <c r="F337" s="90"/>
    </row>
    <row r="338" ht="22.5" customHeight="1">
      <c r="A338" s="221">
        <v>416457.0</v>
      </c>
      <c r="B338" s="223" t="s">
        <v>15</v>
      </c>
      <c r="C338" s="224" t="s">
        <v>314</v>
      </c>
      <c r="D338" s="223" t="s">
        <v>508</v>
      </c>
      <c r="E338" s="240">
        <v>46030.0</v>
      </c>
      <c r="F338" s="90"/>
    </row>
    <row r="339" ht="22.5" customHeight="1">
      <c r="A339" s="221">
        <v>4000.0</v>
      </c>
      <c r="B339" s="223" t="s">
        <v>26</v>
      </c>
      <c r="C339" s="224" t="s">
        <v>378</v>
      </c>
      <c r="D339" s="223" t="s">
        <v>509</v>
      </c>
      <c r="E339" s="240">
        <v>46031.0</v>
      </c>
      <c r="F339" s="90"/>
    </row>
    <row r="340" ht="22.5" customHeight="1">
      <c r="A340" s="221">
        <v>10000.0</v>
      </c>
      <c r="B340" s="223" t="s">
        <v>15</v>
      </c>
      <c r="C340" s="224" t="s">
        <v>378</v>
      </c>
      <c r="D340" s="223" t="s">
        <v>510</v>
      </c>
      <c r="E340" s="240">
        <v>46031.0</v>
      </c>
      <c r="F340" s="90"/>
    </row>
    <row r="341" ht="22.5" customHeight="1">
      <c r="A341" s="221">
        <v>9400.0</v>
      </c>
      <c r="B341" s="223" t="s">
        <v>26</v>
      </c>
      <c r="C341" s="224" t="s">
        <v>125</v>
      </c>
      <c r="D341" s="223" t="s">
        <v>511</v>
      </c>
      <c r="E341" s="240">
        <v>46031.0</v>
      </c>
      <c r="F341" s="90"/>
    </row>
    <row r="342" ht="22.5" customHeight="1">
      <c r="A342" s="221">
        <v>9000.0</v>
      </c>
      <c r="B342" s="223" t="s">
        <v>15</v>
      </c>
      <c r="C342" s="224" t="s">
        <v>251</v>
      </c>
      <c r="D342" s="223" t="s">
        <v>512</v>
      </c>
      <c r="E342" s="240">
        <v>46032.0</v>
      </c>
      <c r="F342" s="90"/>
    </row>
    <row r="343" ht="22.5" customHeight="1">
      <c r="A343" s="221">
        <v>50000.0</v>
      </c>
      <c r="B343" s="223" t="s">
        <v>15</v>
      </c>
      <c r="C343" s="224" t="s">
        <v>121</v>
      </c>
      <c r="D343" s="223" t="s">
        <v>513</v>
      </c>
      <c r="E343" s="240">
        <v>46033.0</v>
      </c>
      <c r="F343" s="90"/>
    </row>
    <row r="344" ht="22.5" customHeight="1">
      <c r="A344" s="221">
        <v>4050.0</v>
      </c>
      <c r="B344" s="223" t="s">
        <v>15</v>
      </c>
      <c r="C344" s="224" t="s">
        <v>314</v>
      </c>
      <c r="D344" s="223" t="s">
        <v>430</v>
      </c>
      <c r="E344" s="240">
        <v>46034.0</v>
      </c>
      <c r="F344" s="90"/>
    </row>
    <row r="345" ht="22.5" customHeight="1">
      <c r="A345" s="221">
        <v>2300.0</v>
      </c>
      <c r="B345" s="223" t="s">
        <v>15</v>
      </c>
      <c r="C345" s="224" t="s">
        <v>251</v>
      </c>
      <c r="D345" s="223" t="s">
        <v>397</v>
      </c>
      <c r="E345" s="240">
        <v>46034.0</v>
      </c>
      <c r="F345" s="90"/>
    </row>
    <row r="346" ht="22.5" customHeight="1">
      <c r="A346" s="221">
        <v>4000.0</v>
      </c>
      <c r="B346" s="223" t="s">
        <v>15</v>
      </c>
      <c r="C346" s="224" t="s">
        <v>269</v>
      </c>
      <c r="D346" s="223" t="s">
        <v>514</v>
      </c>
      <c r="E346" s="240">
        <v>46034.0</v>
      </c>
      <c r="F346" s="90"/>
    </row>
    <row r="347" ht="22.5" customHeight="1">
      <c r="A347" s="221">
        <v>7752.15</v>
      </c>
      <c r="B347" s="223" t="s">
        <v>15</v>
      </c>
      <c r="C347" s="224" t="s">
        <v>438</v>
      </c>
      <c r="D347" s="223" t="s">
        <v>164</v>
      </c>
      <c r="E347" s="240">
        <v>46035.0</v>
      </c>
      <c r="F347" s="90"/>
    </row>
    <row r="348" ht="22.5" customHeight="1">
      <c r="A348" s="221">
        <v>18000.0</v>
      </c>
      <c r="B348" s="223" t="s">
        <v>15</v>
      </c>
      <c r="C348" s="224" t="s">
        <v>269</v>
      </c>
      <c r="D348" s="223" t="s">
        <v>515</v>
      </c>
      <c r="E348" s="240">
        <v>46036.0</v>
      </c>
      <c r="F348" s="90"/>
    </row>
    <row r="349" ht="22.5" customHeight="1">
      <c r="A349" s="221">
        <v>4000.0</v>
      </c>
      <c r="B349" s="223" t="s">
        <v>15</v>
      </c>
      <c r="C349" s="224" t="s">
        <v>378</v>
      </c>
      <c r="D349" s="223" t="s">
        <v>516</v>
      </c>
      <c r="E349" s="240">
        <v>46036.0</v>
      </c>
      <c r="F349" s="90"/>
    </row>
    <row r="350" ht="22.5" customHeight="1">
      <c r="A350" s="221">
        <v>10000.0</v>
      </c>
      <c r="B350" s="223" t="s">
        <v>15</v>
      </c>
      <c r="C350" s="224" t="s">
        <v>269</v>
      </c>
      <c r="D350" s="223" t="s">
        <v>517</v>
      </c>
      <c r="E350" s="240">
        <v>46036.0</v>
      </c>
      <c r="F350" s="90"/>
    </row>
    <row r="351" ht="22.5" customHeight="1">
      <c r="A351" s="221">
        <v>5000.0</v>
      </c>
      <c r="B351" s="223" t="s">
        <v>15</v>
      </c>
      <c r="C351" s="224" t="s">
        <v>269</v>
      </c>
      <c r="D351" s="223" t="s">
        <v>517</v>
      </c>
      <c r="E351" s="240">
        <v>46036.0</v>
      </c>
      <c r="F351" s="90"/>
    </row>
    <row r="352" ht="22.5" customHeight="1">
      <c r="A352" s="221">
        <v>4880.0</v>
      </c>
      <c r="B352" s="223" t="s">
        <v>26</v>
      </c>
      <c r="C352" s="224" t="s">
        <v>251</v>
      </c>
      <c r="D352" s="223" t="s">
        <v>518</v>
      </c>
      <c r="E352" s="240">
        <v>46037.0</v>
      </c>
      <c r="F352" s="90"/>
    </row>
    <row r="353" ht="22.5" customHeight="1">
      <c r="A353" s="221">
        <v>6740.0</v>
      </c>
      <c r="B353" s="223" t="s">
        <v>26</v>
      </c>
      <c r="C353" s="224" t="s">
        <v>251</v>
      </c>
      <c r="D353" s="223" t="s">
        <v>519</v>
      </c>
      <c r="E353" s="240">
        <v>46037.0</v>
      </c>
      <c r="F353" s="90"/>
    </row>
    <row r="354" ht="22.5" customHeight="1">
      <c r="A354" s="221">
        <v>10000.0</v>
      </c>
      <c r="B354" s="223" t="s">
        <v>15</v>
      </c>
      <c r="C354" s="224" t="s">
        <v>378</v>
      </c>
      <c r="D354" s="223" t="s">
        <v>520</v>
      </c>
      <c r="E354" s="240">
        <v>46038.0</v>
      </c>
      <c r="F354" s="90"/>
    </row>
    <row r="355" ht="22.5" customHeight="1">
      <c r="A355" s="221">
        <v>10780.0</v>
      </c>
      <c r="B355" s="223" t="s">
        <v>26</v>
      </c>
      <c r="C355" s="224" t="s">
        <v>378</v>
      </c>
      <c r="D355" s="223" t="s">
        <v>521</v>
      </c>
      <c r="E355" s="240">
        <v>46040.0</v>
      </c>
      <c r="F355" s="90"/>
    </row>
    <row r="356" ht="22.5" customHeight="1">
      <c r="A356" s="221">
        <v>68608.5</v>
      </c>
      <c r="B356" s="223" t="s">
        <v>15</v>
      </c>
      <c r="C356" s="224" t="s">
        <v>371</v>
      </c>
      <c r="D356" s="223" t="s">
        <v>522</v>
      </c>
      <c r="E356" s="240">
        <v>46041.0</v>
      </c>
      <c r="F356" s="90"/>
    </row>
    <row r="357" ht="22.5" customHeight="1">
      <c r="A357" s="221">
        <v>657.5</v>
      </c>
      <c r="B357" s="223" t="s">
        <v>15</v>
      </c>
      <c r="C357" s="224" t="s">
        <v>371</v>
      </c>
      <c r="D357" s="223" t="s">
        <v>522</v>
      </c>
      <c r="E357" s="240">
        <v>46041.0</v>
      </c>
      <c r="F357" s="90"/>
    </row>
    <row r="358" ht="22.5" customHeight="1">
      <c r="A358" s="221">
        <v>3500.0</v>
      </c>
      <c r="B358" s="223" t="s">
        <v>26</v>
      </c>
      <c r="C358" s="224" t="s">
        <v>371</v>
      </c>
      <c r="D358" s="223" t="s">
        <v>523</v>
      </c>
      <c r="E358" s="240">
        <v>46041.0</v>
      </c>
      <c r="F358" s="90"/>
    </row>
    <row r="359" ht="22.5" customHeight="1">
      <c r="A359" s="221">
        <v>16000.0</v>
      </c>
      <c r="B359" s="223" t="s">
        <v>26</v>
      </c>
      <c r="C359" s="224" t="s">
        <v>246</v>
      </c>
      <c r="D359" s="223" t="s">
        <v>164</v>
      </c>
      <c r="E359" s="240">
        <v>46042.0</v>
      </c>
      <c r="F359" s="90"/>
    </row>
    <row r="360" ht="22.5" customHeight="1">
      <c r="A360" s="221">
        <v>10000.0</v>
      </c>
      <c r="B360" s="223" t="s">
        <v>26</v>
      </c>
      <c r="C360" s="224" t="s">
        <v>274</v>
      </c>
      <c r="D360" s="223" t="s">
        <v>164</v>
      </c>
      <c r="E360" s="240">
        <v>46042.0</v>
      </c>
      <c r="F360" s="90"/>
    </row>
    <row r="361" ht="22.5" customHeight="1">
      <c r="A361" s="221">
        <v>980.0</v>
      </c>
      <c r="B361" s="223" t="s">
        <v>26</v>
      </c>
      <c r="C361" s="224" t="s">
        <v>274</v>
      </c>
      <c r="D361" s="223" t="s">
        <v>164</v>
      </c>
      <c r="E361" s="240">
        <v>46042.0</v>
      </c>
      <c r="F361" s="90"/>
    </row>
    <row r="362" ht="22.5" customHeight="1">
      <c r="A362" s="221">
        <v>3550.0</v>
      </c>
      <c r="B362" s="223" t="s">
        <v>15</v>
      </c>
      <c r="C362" s="224" t="s">
        <v>378</v>
      </c>
      <c r="D362" s="223" t="s">
        <v>524</v>
      </c>
      <c r="E362" s="240">
        <v>46042.0</v>
      </c>
      <c r="F362" s="90"/>
    </row>
    <row r="363" ht="22.5" customHeight="1">
      <c r="A363" s="221">
        <v>13800.0</v>
      </c>
      <c r="B363" s="223" t="s">
        <v>26</v>
      </c>
      <c r="C363" s="224" t="s">
        <v>371</v>
      </c>
      <c r="D363" s="223" t="s">
        <v>525</v>
      </c>
      <c r="E363" s="240">
        <v>46043.0</v>
      </c>
      <c r="F363" s="90"/>
    </row>
    <row r="364" ht="22.5" customHeight="1">
      <c r="A364" s="221">
        <v>5700.0</v>
      </c>
      <c r="B364" s="223" t="s">
        <v>26</v>
      </c>
      <c r="C364" s="224" t="s">
        <v>371</v>
      </c>
      <c r="D364" s="223" t="s">
        <v>526</v>
      </c>
      <c r="E364" s="240">
        <v>46043.0</v>
      </c>
      <c r="F364" s="90"/>
    </row>
    <row r="365" ht="22.5" customHeight="1">
      <c r="A365" s="221">
        <v>3800.0</v>
      </c>
      <c r="B365" s="223" t="s">
        <v>26</v>
      </c>
      <c r="C365" s="224" t="s">
        <v>378</v>
      </c>
      <c r="D365" s="223" t="s">
        <v>527</v>
      </c>
      <c r="E365" s="240">
        <v>46044.0</v>
      </c>
      <c r="F365" s="90"/>
    </row>
    <row r="366" ht="22.5" customHeight="1">
      <c r="A366" s="221">
        <v>6000.0</v>
      </c>
      <c r="B366" s="223" t="s">
        <v>15</v>
      </c>
      <c r="C366" s="224" t="s">
        <v>378</v>
      </c>
      <c r="D366" s="223" t="s">
        <v>528</v>
      </c>
      <c r="E366" s="240">
        <v>46045.0</v>
      </c>
      <c r="F366" s="90"/>
    </row>
    <row r="367" ht="22.5" customHeight="1">
      <c r="A367" s="221">
        <v>14120.3</v>
      </c>
      <c r="B367" s="223" t="s">
        <v>15</v>
      </c>
      <c r="C367" s="224" t="s">
        <v>269</v>
      </c>
      <c r="D367" s="223" t="s">
        <v>164</v>
      </c>
      <c r="E367" s="240">
        <v>46047.0</v>
      </c>
      <c r="F367" s="90"/>
    </row>
    <row r="368" ht="22.5" customHeight="1">
      <c r="A368" s="221">
        <v>1420.0</v>
      </c>
      <c r="B368" s="223" t="s">
        <v>15</v>
      </c>
      <c r="C368" s="224" t="s">
        <v>269</v>
      </c>
      <c r="D368" s="223" t="s">
        <v>164</v>
      </c>
      <c r="E368" s="240">
        <v>46047.0</v>
      </c>
      <c r="F368" s="90"/>
    </row>
    <row r="369" ht="22.5" customHeight="1">
      <c r="A369" s="221">
        <v>6000.0</v>
      </c>
      <c r="B369" s="223" t="s">
        <v>15</v>
      </c>
      <c r="C369" s="224" t="s">
        <v>251</v>
      </c>
      <c r="D369" s="223" t="s">
        <v>529</v>
      </c>
      <c r="E369" s="240">
        <v>46048.0</v>
      </c>
      <c r="F369" s="90"/>
    </row>
    <row r="370" ht="22.5" customHeight="1">
      <c r="A370" s="221">
        <v>800.0</v>
      </c>
      <c r="B370" s="223" t="s">
        <v>26</v>
      </c>
      <c r="C370" s="224" t="s">
        <v>251</v>
      </c>
      <c r="D370" s="223" t="s">
        <v>529</v>
      </c>
      <c r="E370" s="240">
        <v>46048.0</v>
      </c>
      <c r="F370" s="90"/>
    </row>
    <row r="371" ht="22.5" customHeight="1">
      <c r="A371" s="221">
        <v>40500.0</v>
      </c>
      <c r="B371" s="223" t="s">
        <v>15</v>
      </c>
      <c r="C371" s="224" t="s">
        <v>371</v>
      </c>
      <c r="D371" s="223" t="s">
        <v>530</v>
      </c>
      <c r="E371" s="240">
        <v>46049.0</v>
      </c>
      <c r="F371" s="90"/>
    </row>
    <row r="372" ht="22.5" customHeight="1">
      <c r="A372" s="221">
        <v>150000.0</v>
      </c>
      <c r="B372" s="223" t="s">
        <v>15</v>
      </c>
      <c r="C372" s="224" t="s">
        <v>371</v>
      </c>
      <c r="D372" s="223" t="s">
        <v>531</v>
      </c>
      <c r="E372" s="240">
        <v>46050.0</v>
      </c>
      <c r="F372" s="90"/>
    </row>
    <row r="373" ht="22.5" customHeight="1">
      <c r="A373" s="221">
        <v>10000.0</v>
      </c>
      <c r="B373" s="223" t="s">
        <v>15</v>
      </c>
      <c r="C373" s="224" t="s">
        <v>274</v>
      </c>
      <c r="D373" s="223" t="s">
        <v>164</v>
      </c>
      <c r="E373" s="240">
        <v>46051.0</v>
      </c>
      <c r="F373" s="90"/>
    </row>
    <row r="374" ht="22.5" customHeight="1">
      <c r="A374" s="221">
        <v>10500.0</v>
      </c>
      <c r="B374" s="223" t="s">
        <v>15</v>
      </c>
      <c r="C374" s="224" t="s">
        <v>378</v>
      </c>
      <c r="D374" s="223" t="s">
        <v>532</v>
      </c>
      <c r="E374" s="240">
        <v>46051.0</v>
      </c>
      <c r="F374" s="90"/>
    </row>
    <row r="375" ht="22.5" customHeight="1">
      <c r="A375" s="221">
        <v>2700.0</v>
      </c>
      <c r="B375" s="223" t="s">
        <v>15</v>
      </c>
      <c r="C375" s="224" t="s">
        <v>378</v>
      </c>
      <c r="D375" s="223" t="s">
        <v>63</v>
      </c>
      <c r="E375" s="240">
        <v>46051.0</v>
      </c>
      <c r="F375" s="90"/>
    </row>
    <row r="376" ht="22.5" customHeight="1">
      <c r="A376" s="221">
        <v>5000.0</v>
      </c>
      <c r="B376" s="223" t="s">
        <v>15</v>
      </c>
      <c r="C376" s="224" t="s">
        <v>378</v>
      </c>
      <c r="D376" s="223" t="s">
        <v>533</v>
      </c>
      <c r="E376" s="240">
        <v>46052.0</v>
      </c>
      <c r="F376" s="90"/>
    </row>
    <row r="377" ht="22.5" customHeight="1">
      <c r="A377" s="221">
        <v>2000.0</v>
      </c>
      <c r="B377" s="223" t="s">
        <v>26</v>
      </c>
      <c r="C377" s="224" t="s">
        <v>269</v>
      </c>
      <c r="D377" s="223" t="s">
        <v>534</v>
      </c>
      <c r="E377" s="240">
        <v>46052.0</v>
      </c>
      <c r="F377" s="90"/>
    </row>
    <row r="378" ht="22.5" customHeight="1">
      <c r="A378" s="221">
        <v>600.0</v>
      </c>
      <c r="B378" s="223" t="s">
        <v>26</v>
      </c>
      <c r="C378" s="224" t="s">
        <v>371</v>
      </c>
      <c r="D378" s="223" t="s">
        <v>535</v>
      </c>
      <c r="E378" s="240">
        <v>46058.0</v>
      </c>
      <c r="F378" s="90"/>
    </row>
    <row r="379" ht="22.5" customHeight="1">
      <c r="A379" s="221">
        <v>6100.0</v>
      </c>
      <c r="B379" s="223" t="s">
        <v>15</v>
      </c>
      <c r="C379" s="224" t="s">
        <v>378</v>
      </c>
      <c r="D379" s="223" t="s">
        <v>536</v>
      </c>
      <c r="E379" s="240">
        <v>46058.0</v>
      </c>
      <c r="F379" s="90"/>
    </row>
    <row r="380" ht="22.5" customHeight="1">
      <c r="A380" s="221">
        <v>25000.0</v>
      </c>
      <c r="B380" s="223" t="s">
        <v>15</v>
      </c>
      <c r="C380" s="224" t="s">
        <v>537</v>
      </c>
      <c r="D380" s="223" t="s">
        <v>538</v>
      </c>
      <c r="E380" s="240">
        <v>46058.0</v>
      </c>
      <c r="F380" s="90"/>
    </row>
    <row r="381" ht="22.5" customHeight="1">
      <c r="A381" s="221">
        <v>15000.0</v>
      </c>
      <c r="B381" s="223" t="s">
        <v>15</v>
      </c>
      <c r="C381" s="224" t="s">
        <v>378</v>
      </c>
      <c r="D381" s="223" t="s">
        <v>539</v>
      </c>
      <c r="E381" s="240">
        <v>46058.0</v>
      </c>
      <c r="F381" s="90"/>
    </row>
    <row r="382" ht="22.5" customHeight="1">
      <c r="A382" s="221">
        <v>1400.0</v>
      </c>
      <c r="B382" s="223" t="s">
        <v>15</v>
      </c>
      <c r="C382" s="224" t="s">
        <v>371</v>
      </c>
      <c r="D382" s="223" t="s">
        <v>540</v>
      </c>
      <c r="E382" s="240">
        <v>46059.0</v>
      </c>
      <c r="F382" s="90"/>
    </row>
    <row r="383" ht="22.5" customHeight="1">
      <c r="A383" s="221">
        <v>15000.0</v>
      </c>
      <c r="B383" s="223" t="s">
        <v>15</v>
      </c>
      <c r="C383" s="224" t="s">
        <v>274</v>
      </c>
      <c r="D383" s="223" t="s">
        <v>541</v>
      </c>
      <c r="E383" s="240">
        <v>46059.0</v>
      </c>
      <c r="F383" s="90"/>
    </row>
    <row r="384" ht="22.5" customHeight="1">
      <c r="A384" s="221">
        <v>5400.0</v>
      </c>
      <c r="B384" s="223" t="s">
        <v>15</v>
      </c>
      <c r="C384" s="224" t="s">
        <v>251</v>
      </c>
      <c r="D384" s="223" t="s">
        <v>542</v>
      </c>
      <c r="E384" s="240">
        <v>46059.0</v>
      </c>
      <c r="F384" s="90"/>
    </row>
    <row r="385" ht="22.5" customHeight="1">
      <c r="A385" s="221">
        <v>4300.0</v>
      </c>
      <c r="B385" s="223" t="s">
        <v>15</v>
      </c>
      <c r="C385" s="224" t="s">
        <v>291</v>
      </c>
      <c r="D385" s="223" t="s">
        <v>543</v>
      </c>
      <c r="E385" s="240">
        <v>46060.0</v>
      </c>
      <c r="F385" s="90"/>
    </row>
    <row r="386" ht="22.5" customHeight="1">
      <c r="A386" s="221">
        <v>30000.0</v>
      </c>
      <c r="B386" s="223" t="s">
        <v>15</v>
      </c>
      <c r="C386" s="224" t="s">
        <v>121</v>
      </c>
      <c r="D386" s="223" t="s">
        <v>544</v>
      </c>
      <c r="E386" s="240">
        <v>46060.0</v>
      </c>
      <c r="F386" s="90"/>
    </row>
    <row r="387" ht="22.5" customHeight="1">
      <c r="A387" s="221">
        <v>3700.0</v>
      </c>
      <c r="B387" s="223" t="s">
        <v>15</v>
      </c>
      <c r="C387" s="224" t="s">
        <v>378</v>
      </c>
      <c r="D387" s="223" t="s">
        <v>545</v>
      </c>
      <c r="E387" s="240">
        <v>46060.0</v>
      </c>
      <c r="F387" s="90"/>
    </row>
    <row r="388" ht="22.5" customHeight="1">
      <c r="A388" s="221">
        <v>13400.0</v>
      </c>
      <c r="B388" s="223" t="s">
        <v>26</v>
      </c>
      <c r="C388" s="224" t="s">
        <v>371</v>
      </c>
      <c r="D388" s="223" t="s">
        <v>546</v>
      </c>
      <c r="E388" s="240">
        <v>46063.0</v>
      </c>
      <c r="F388" s="90"/>
    </row>
    <row r="389" ht="22.5" customHeight="1">
      <c r="A389" s="221">
        <v>40500.0</v>
      </c>
      <c r="B389" s="223" t="s">
        <v>15</v>
      </c>
      <c r="C389" s="224" t="s">
        <v>547</v>
      </c>
      <c r="D389" s="223" t="s">
        <v>548</v>
      </c>
      <c r="E389" s="240">
        <v>46065.0</v>
      </c>
      <c r="F389" s="90"/>
    </row>
    <row r="390" ht="22.5" customHeight="1">
      <c r="A390" s="221">
        <v>26000.0</v>
      </c>
      <c r="B390" s="223" t="s">
        <v>15</v>
      </c>
      <c r="C390" s="224" t="s">
        <v>251</v>
      </c>
      <c r="D390" s="223" t="s">
        <v>549</v>
      </c>
      <c r="E390" s="240">
        <v>46067.0</v>
      </c>
      <c r="F390" s="90"/>
    </row>
    <row r="391" ht="22.5" customHeight="1">
      <c r="A391" s="221">
        <v>7400.0</v>
      </c>
      <c r="B391" s="223" t="s">
        <v>15</v>
      </c>
      <c r="C391" s="224" t="s">
        <v>251</v>
      </c>
      <c r="D391" s="223" t="s">
        <v>550</v>
      </c>
      <c r="E391" s="240">
        <v>46067.0</v>
      </c>
      <c r="F391" s="90"/>
    </row>
    <row r="392" ht="22.5" customHeight="1">
      <c r="A392" s="221">
        <v>8839.0</v>
      </c>
      <c r="B392" s="223" t="s">
        <v>15</v>
      </c>
      <c r="C392" s="224" t="s">
        <v>371</v>
      </c>
      <c r="D392" s="223" t="s">
        <v>551</v>
      </c>
      <c r="E392" s="240">
        <v>46067.0</v>
      </c>
      <c r="F392" s="90"/>
    </row>
    <row r="393" ht="22.5" customHeight="1">
      <c r="A393" s="221">
        <v>5400.0</v>
      </c>
      <c r="B393" s="223" t="s">
        <v>15</v>
      </c>
      <c r="C393" s="224" t="s">
        <v>251</v>
      </c>
      <c r="D393" s="223" t="s">
        <v>552</v>
      </c>
      <c r="E393" s="240">
        <v>46068.0</v>
      </c>
      <c r="F393" s="90"/>
    </row>
    <row r="394" ht="22.5" customHeight="1">
      <c r="A394" s="221">
        <v>5400.0</v>
      </c>
      <c r="B394" s="223" t="s">
        <v>26</v>
      </c>
      <c r="C394" s="224" t="s">
        <v>371</v>
      </c>
      <c r="D394" s="223" t="s">
        <v>553</v>
      </c>
      <c r="E394" s="240">
        <v>46068.0</v>
      </c>
      <c r="F394" s="90"/>
    </row>
    <row r="395" ht="22.5" customHeight="1">
      <c r="A395" s="221">
        <v>1000.0</v>
      </c>
      <c r="B395" s="223" t="s">
        <v>15</v>
      </c>
      <c r="C395" s="224" t="s">
        <v>121</v>
      </c>
      <c r="D395" s="223" t="s">
        <v>369</v>
      </c>
      <c r="E395" s="240">
        <v>46070.0</v>
      </c>
      <c r="F395" s="90"/>
    </row>
    <row r="396" ht="22.5" customHeight="1">
      <c r="A396" s="221">
        <v>64.51</v>
      </c>
      <c r="B396" s="223" t="s">
        <v>35</v>
      </c>
      <c r="C396" s="224" t="s">
        <v>371</v>
      </c>
      <c r="D396" s="223" t="s">
        <v>554</v>
      </c>
      <c r="E396" s="240">
        <v>46088.0</v>
      </c>
      <c r="F396" s="90"/>
    </row>
    <row r="397" ht="22.5" customHeight="1">
      <c r="A397" s="221">
        <v>53.2</v>
      </c>
      <c r="B397" s="223" t="s">
        <v>35</v>
      </c>
      <c r="C397" s="224" t="s">
        <v>371</v>
      </c>
      <c r="D397" s="223" t="s">
        <v>555</v>
      </c>
      <c r="E397" s="240">
        <v>46088.0</v>
      </c>
      <c r="F397" s="90"/>
    </row>
    <row r="398" ht="22.5" customHeight="1">
      <c r="A398" s="221">
        <v>11.2</v>
      </c>
      <c r="B398" s="223" t="s">
        <v>35</v>
      </c>
      <c r="C398" s="224" t="s">
        <v>371</v>
      </c>
      <c r="D398" s="223" t="s">
        <v>556</v>
      </c>
      <c r="E398" s="240">
        <v>46088.0</v>
      </c>
      <c r="F398" s="90"/>
    </row>
    <row r="399" ht="22.5" customHeight="1">
      <c r="A399" s="221">
        <v>10.0</v>
      </c>
      <c r="B399" s="223" t="s">
        <v>35</v>
      </c>
      <c r="C399" s="224" t="s">
        <v>371</v>
      </c>
      <c r="D399" s="223" t="s">
        <v>557</v>
      </c>
      <c r="E399" s="240">
        <v>46088.0</v>
      </c>
      <c r="F399" s="90"/>
    </row>
    <row r="400" ht="22.5" customHeight="1">
      <c r="A400" s="221">
        <v>93.23</v>
      </c>
      <c r="B400" s="223" t="s">
        <v>35</v>
      </c>
      <c r="C400" s="224" t="s">
        <v>364</v>
      </c>
      <c r="D400" s="223" t="s">
        <v>558</v>
      </c>
      <c r="E400" s="240">
        <v>46088.0</v>
      </c>
      <c r="F400" s="90"/>
    </row>
    <row r="401" ht="22.5" customHeight="1">
      <c r="A401" s="221">
        <v>15.0</v>
      </c>
      <c r="B401" s="223" t="s">
        <v>35</v>
      </c>
      <c r="C401" s="224" t="s">
        <v>251</v>
      </c>
      <c r="D401" s="223" t="s">
        <v>559</v>
      </c>
      <c r="E401" s="240">
        <v>46089.0</v>
      </c>
      <c r="F401" s="90"/>
    </row>
    <row r="402" ht="22.5" customHeight="1">
      <c r="A402" s="221">
        <v>15.0</v>
      </c>
      <c r="B402" s="223" t="s">
        <v>35</v>
      </c>
      <c r="C402" s="224" t="s">
        <v>364</v>
      </c>
      <c r="D402" s="223" t="s">
        <v>560</v>
      </c>
      <c r="E402" s="240">
        <v>46089.0</v>
      </c>
      <c r="F402" s="90"/>
    </row>
    <row r="403" ht="22.5" customHeight="1">
      <c r="A403" s="221">
        <v>200.0</v>
      </c>
      <c r="B403" s="223" t="s">
        <v>35</v>
      </c>
      <c r="C403" s="224" t="s">
        <v>364</v>
      </c>
      <c r="D403" s="223" t="s">
        <v>561</v>
      </c>
      <c r="E403" s="240">
        <v>46090.0</v>
      </c>
      <c r="F403" s="90"/>
    </row>
    <row r="404" ht="22.5" customHeight="1">
      <c r="A404" s="221">
        <v>114.01</v>
      </c>
      <c r="B404" s="223" t="s">
        <v>35</v>
      </c>
      <c r="C404" s="224" t="s">
        <v>269</v>
      </c>
      <c r="D404" s="223" t="s">
        <v>562</v>
      </c>
      <c r="E404" s="240">
        <v>46090.0</v>
      </c>
      <c r="F404" s="90"/>
    </row>
    <row r="405" ht="22.5" customHeight="1">
      <c r="A405" s="221">
        <v>7.88</v>
      </c>
      <c r="B405" s="223" t="s">
        <v>35</v>
      </c>
      <c r="C405" s="224" t="s">
        <v>371</v>
      </c>
      <c r="D405" s="223" t="s">
        <v>563</v>
      </c>
      <c r="E405" s="240">
        <v>46090.0</v>
      </c>
      <c r="F405" s="90"/>
    </row>
    <row r="406" ht="22.5" customHeight="1">
      <c r="A406" s="221">
        <v>23.62</v>
      </c>
      <c r="B406" s="223" t="s">
        <v>35</v>
      </c>
      <c r="C406" s="224" t="s">
        <v>251</v>
      </c>
      <c r="D406" s="223" t="s">
        <v>564</v>
      </c>
      <c r="E406" s="240">
        <v>46090.0</v>
      </c>
      <c r="F406" s="90"/>
    </row>
    <row r="407" ht="22.5" customHeight="1">
      <c r="A407" s="221">
        <v>6.26</v>
      </c>
      <c r="B407" s="223" t="s">
        <v>35</v>
      </c>
      <c r="C407" s="224" t="s">
        <v>251</v>
      </c>
      <c r="D407" s="223" t="s">
        <v>565</v>
      </c>
      <c r="E407" s="240">
        <v>46090.0</v>
      </c>
      <c r="F407" s="90"/>
    </row>
    <row r="408" ht="22.5" customHeight="1">
      <c r="A408" s="221">
        <v>22.0</v>
      </c>
      <c r="B408" s="223" t="s">
        <v>35</v>
      </c>
      <c r="C408" s="224" t="s">
        <v>121</v>
      </c>
      <c r="D408" s="223" t="s">
        <v>566</v>
      </c>
      <c r="E408" s="240">
        <v>46090.0</v>
      </c>
      <c r="F408" s="90"/>
    </row>
    <row r="409" ht="22.5" customHeight="1">
      <c r="A409" s="221">
        <v>46.01</v>
      </c>
      <c r="B409" s="223" t="s">
        <v>35</v>
      </c>
      <c r="C409" s="224" t="s">
        <v>121</v>
      </c>
      <c r="D409" s="223" t="s">
        <v>567</v>
      </c>
      <c r="E409" s="240">
        <v>46090.0</v>
      </c>
      <c r="F409" s="90"/>
    </row>
    <row r="410" ht="22.5" customHeight="1">
      <c r="A410" s="221">
        <v>12900.0</v>
      </c>
      <c r="B410" s="223" t="s">
        <v>15</v>
      </c>
      <c r="C410" s="224" t="s">
        <v>291</v>
      </c>
      <c r="D410" s="223" t="s">
        <v>568</v>
      </c>
      <c r="E410" s="240">
        <v>46091.0</v>
      </c>
      <c r="F410" s="90"/>
    </row>
    <row r="411" ht="22.5" customHeight="1">
      <c r="A411" s="221">
        <v>1100.0</v>
      </c>
      <c r="B411" s="223" t="s">
        <v>15</v>
      </c>
      <c r="C411" s="224" t="s">
        <v>251</v>
      </c>
      <c r="D411" s="223" t="s">
        <v>569</v>
      </c>
      <c r="E411" s="240">
        <v>46091.0</v>
      </c>
      <c r="F411" s="90"/>
    </row>
    <row r="412" ht="22.5" customHeight="1">
      <c r="A412" s="221">
        <v>1900.0</v>
      </c>
      <c r="B412" s="223" t="s">
        <v>15</v>
      </c>
      <c r="C412" s="224" t="s">
        <v>251</v>
      </c>
      <c r="D412" s="223" t="s">
        <v>397</v>
      </c>
      <c r="E412" s="240">
        <v>46093.0</v>
      </c>
      <c r="F412" s="90"/>
    </row>
    <row r="413" ht="22.5" customHeight="1">
      <c r="A413" s="221">
        <v>14000.0</v>
      </c>
      <c r="B413" s="223" t="s">
        <v>15</v>
      </c>
      <c r="C413" s="224" t="s">
        <v>251</v>
      </c>
      <c r="D413" s="223" t="s">
        <v>559</v>
      </c>
      <c r="E413" s="240">
        <v>46093.0</v>
      </c>
      <c r="F413" s="90"/>
    </row>
    <row r="414" ht="22.5" customHeight="1">
      <c r="A414" s="221">
        <v>280.0</v>
      </c>
      <c r="B414" s="223" t="s">
        <v>35</v>
      </c>
      <c r="C414" s="224" t="s">
        <v>364</v>
      </c>
      <c r="D414" s="223" t="s">
        <v>570</v>
      </c>
      <c r="E414" s="240">
        <v>46094.0</v>
      </c>
      <c r="F414" s="90"/>
    </row>
    <row r="415" ht="22.5" customHeight="1">
      <c r="A415" s="221">
        <v>5.49</v>
      </c>
      <c r="B415" s="223" t="s">
        <v>35</v>
      </c>
      <c r="C415" s="224" t="s">
        <v>371</v>
      </c>
      <c r="D415" s="223" t="s">
        <v>571</v>
      </c>
      <c r="E415" s="240">
        <v>46094.0</v>
      </c>
      <c r="F415" s="90"/>
    </row>
    <row r="416" ht="22.5" customHeight="1">
      <c r="A416" s="221">
        <v>20.55</v>
      </c>
      <c r="B416" s="223" t="s">
        <v>35</v>
      </c>
      <c r="C416" s="224" t="s">
        <v>547</v>
      </c>
      <c r="D416" s="223" t="s">
        <v>572</v>
      </c>
      <c r="E416" s="240">
        <v>46096.0</v>
      </c>
      <c r="F416" s="90"/>
    </row>
    <row r="417" ht="22.5" customHeight="1">
      <c r="A417" s="221">
        <v>6.56</v>
      </c>
      <c r="B417" s="223" t="s">
        <v>35</v>
      </c>
      <c r="C417" s="224" t="s">
        <v>547</v>
      </c>
      <c r="D417" s="223" t="s">
        <v>573</v>
      </c>
      <c r="E417" s="240">
        <v>46096.0</v>
      </c>
      <c r="F417" s="90"/>
    </row>
    <row r="418" ht="22.5" customHeight="1">
      <c r="A418" s="221">
        <v>9.24</v>
      </c>
      <c r="B418" s="223" t="s">
        <v>35</v>
      </c>
      <c r="C418" s="224" t="s">
        <v>547</v>
      </c>
      <c r="D418" s="223" t="s">
        <v>574</v>
      </c>
      <c r="E418" s="240">
        <v>46097.0</v>
      </c>
      <c r="F418" s="90"/>
    </row>
    <row r="419" ht="22.5" customHeight="1">
      <c r="A419" s="221">
        <v>0.52</v>
      </c>
      <c r="B419" s="223" t="s">
        <v>35</v>
      </c>
      <c r="C419" s="224" t="s">
        <v>251</v>
      </c>
      <c r="D419" s="223" t="s">
        <v>575</v>
      </c>
      <c r="E419" s="240">
        <v>46097.0</v>
      </c>
      <c r="F419" s="90"/>
    </row>
    <row r="420" ht="22.5" customHeight="1">
      <c r="A420" s="221">
        <v>1.26</v>
      </c>
      <c r="B420" s="223" t="s">
        <v>35</v>
      </c>
      <c r="C420" s="224" t="s">
        <v>537</v>
      </c>
      <c r="D420" s="223" t="s">
        <v>576</v>
      </c>
      <c r="E420" s="240">
        <v>46098.0</v>
      </c>
      <c r="F420" s="90"/>
    </row>
    <row r="421" ht="22.5" customHeight="1">
      <c r="A421" s="221">
        <v>30.88</v>
      </c>
      <c r="B421" s="225" t="s">
        <v>35</v>
      </c>
      <c r="C421" s="224" t="s">
        <v>246</v>
      </c>
      <c r="D421" s="223" t="s">
        <v>164</v>
      </c>
      <c r="E421" s="240">
        <v>46098.0</v>
      </c>
      <c r="F421" s="90"/>
    </row>
    <row r="422" ht="22.5" customHeight="1">
      <c r="A422" s="221">
        <v>13.69</v>
      </c>
      <c r="B422" s="223" t="s">
        <v>35</v>
      </c>
      <c r="C422" s="224" t="s">
        <v>274</v>
      </c>
      <c r="D422" s="223" t="s">
        <v>226</v>
      </c>
      <c r="E422" s="240">
        <v>46098.0</v>
      </c>
      <c r="F422" s="90"/>
    </row>
    <row r="423" ht="22.5" customHeight="1">
      <c r="A423" s="221">
        <v>10.28</v>
      </c>
      <c r="B423" s="223" t="s">
        <v>35</v>
      </c>
      <c r="C423" s="224" t="s">
        <v>364</v>
      </c>
      <c r="D423" s="223" t="s">
        <v>577</v>
      </c>
      <c r="E423" s="240">
        <v>46099.0</v>
      </c>
      <c r="F423" s="90"/>
    </row>
    <row r="424" ht="22.5" customHeight="1">
      <c r="A424" s="221">
        <v>3.42</v>
      </c>
      <c r="B424" s="223" t="s">
        <v>35</v>
      </c>
      <c r="C424" s="224" t="s">
        <v>547</v>
      </c>
      <c r="D424" s="223" t="s">
        <v>578</v>
      </c>
      <c r="E424" s="240">
        <v>46100.0</v>
      </c>
      <c r="F424" s="90"/>
    </row>
    <row r="425" ht="22.5" customHeight="1">
      <c r="A425" s="221">
        <v>1.85</v>
      </c>
      <c r="B425" s="223" t="s">
        <v>35</v>
      </c>
      <c r="C425" s="224" t="s">
        <v>547</v>
      </c>
      <c r="D425" s="223" t="s">
        <v>579</v>
      </c>
      <c r="E425" s="240">
        <v>46101.0</v>
      </c>
      <c r="F425" s="90"/>
    </row>
    <row r="426" ht="22.5" customHeight="1">
      <c r="A426" s="221">
        <v>9000.0</v>
      </c>
      <c r="B426" s="223" t="s">
        <v>15</v>
      </c>
      <c r="C426" s="224" t="s">
        <v>371</v>
      </c>
      <c r="D426" s="223" t="s">
        <v>523</v>
      </c>
      <c r="E426" s="240">
        <v>46101.0</v>
      </c>
      <c r="F426" s="90"/>
    </row>
    <row r="427" ht="22.5" customHeight="1">
      <c r="A427" s="221">
        <v>16530.0</v>
      </c>
      <c r="B427" s="223" t="s">
        <v>15</v>
      </c>
      <c r="C427" s="224" t="s">
        <v>547</v>
      </c>
      <c r="D427" s="223" t="s">
        <v>580</v>
      </c>
      <c r="E427" s="240">
        <v>46101.0</v>
      </c>
      <c r="F427" s="90"/>
    </row>
    <row r="428" ht="22.5" customHeight="1">
      <c r="A428" s="221">
        <v>146500.0</v>
      </c>
      <c r="B428" s="223" t="s">
        <v>15</v>
      </c>
      <c r="C428" s="224" t="s">
        <v>314</v>
      </c>
      <c r="D428" s="223" t="s">
        <v>581</v>
      </c>
      <c r="E428" s="240">
        <v>46102.0</v>
      </c>
      <c r="F428" s="90"/>
    </row>
    <row r="429" ht="22.5" customHeight="1">
      <c r="A429" s="221">
        <v>18000.0</v>
      </c>
      <c r="B429" s="223" t="s">
        <v>15</v>
      </c>
      <c r="C429" s="224" t="s">
        <v>547</v>
      </c>
      <c r="D429" s="223" t="s">
        <v>582</v>
      </c>
      <c r="E429" s="240">
        <v>46103.0</v>
      </c>
      <c r="F429" s="90"/>
    </row>
    <row r="430" ht="22.5" customHeight="1">
      <c r="A430" s="221">
        <v>-5.44</v>
      </c>
      <c r="B430" s="223" t="s">
        <v>35</v>
      </c>
      <c r="C430" s="224" t="s">
        <v>547</v>
      </c>
      <c r="D430" s="223" t="s">
        <v>583</v>
      </c>
      <c r="E430" s="240">
        <v>46104.0</v>
      </c>
      <c r="F430" s="90"/>
    </row>
    <row r="431" ht="22.5" customHeight="1">
      <c r="A431" s="221">
        <v>2821.42</v>
      </c>
      <c r="B431" s="223" t="s">
        <v>15</v>
      </c>
      <c r="C431" s="224" t="s">
        <v>547</v>
      </c>
      <c r="D431" s="223" t="s">
        <v>584</v>
      </c>
      <c r="E431" s="240">
        <v>46103.0</v>
      </c>
      <c r="F431" s="90"/>
    </row>
    <row r="432" ht="22.5" customHeight="1">
      <c r="A432" s="221">
        <v>2828.57</v>
      </c>
      <c r="B432" s="223" t="s">
        <v>15</v>
      </c>
      <c r="C432" s="224" t="s">
        <v>314</v>
      </c>
      <c r="D432" s="223" t="s">
        <v>585</v>
      </c>
      <c r="E432" s="240">
        <v>46103.0</v>
      </c>
      <c r="F432" s="90"/>
    </row>
    <row r="433" ht="22.5" customHeight="1">
      <c r="A433" s="221">
        <v>11500.0</v>
      </c>
      <c r="B433" s="223" t="s">
        <v>15</v>
      </c>
      <c r="C433" s="224" t="s">
        <v>269</v>
      </c>
      <c r="D433" s="223" t="s">
        <v>586</v>
      </c>
      <c r="E433" s="240">
        <v>46105.0</v>
      </c>
      <c r="F433" s="90"/>
    </row>
    <row r="434" ht="22.5" customHeight="1">
      <c r="A434" s="221">
        <v>34951.34</v>
      </c>
      <c r="B434" s="223" t="s">
        <v>15</v>
      </c>
      <c r="C434" s="224" t="s">
        <v>371</v>
      </c>
      <c r="D434" s="223" t="s">
        <v>587</v>
      </c>
      <c r="E434" s="240">
        <v>46105.0</v>
      </c>
      <c r="F434" s="90"/>
    </row>
    <row r="435" ht="22.5" customHeight="1">
      <c r="A435" s="221">
        <v>3.21</v>
      </c>
      <c r="B435" s="223" t="s">
        <v>35</v>
      </c>
      <c r="C435" s="224" t="s">
        <v>251</v>
      </c>
      <c r="D435" s="223" t="s">
        <v>588</v>
      </c>
      <c r="E435" s="240">
        <v>46105.0</v>
      </c>
      <c r="F435" s="90"/>
    </row>
    <row r="436" ht="22.5" customHeight="1">
      <c r="A436" s="221">
        <v>2500.0</v>
      </c>
      <c r="B436" s="223" t="s">
        <v>15</v>
      </c>
      <c r="C436" s="224" t="s">
        <v>251</v>
      </c>
      <c r="D436" s="223" t="s">
        <v>589</v>
      </c>
      <c r="E436" s="240">
        <v>46105.0</v>
      </c>
      <c r="F436" s="90"/>
    </row>
    <row r="437" ht="22.5" customHeight="1">
      <c r="A437" s="221">
        <v>4500.0</v>
      </c>
      <c r="B437" s="223" t="s">
        <v>15</v>
      </c>
      <c r="C437" s="224" t="s">
        <v>121</v>
      </c>
      <c r="D437" s="223" t="s">
        <v>590</v>
      </c>
      <c r="E437" s="240">
        <v>46106.0</v>
      </c>
      <c r="F437" s="90"/>
    </row>
    <row r="438" ht="22.5" customHeight="1">
      <c r="A438" s="221">
        <v>5000.0</v>
      </c>
      <c r="B438" s="223" t="s">
        <v>15</v>
      </c>
      <c r="C438" s="224" t="s">
        <v>438</v>
      </c>
      <c r="D438" s="223" t="s">
        <v>591</v>
      </c>
      <c r="E438" s="240">
        <v>46106.0</v>
      </c>
      <c r="F438" s="90"/>
    </row>
    <row r="439" ht="22.5" customHeight="1">
      <c r="A439" s="221">
        <v>5500.0</v>
      </c>
      <c r="B439" s="223" t="s">
        <v>15</v>
      </c>
      <c r="C439" s="224" t="s">
        <v>125</v>
      </c>
      <c r="D439" s="223" t="s">
        <v>164</v>
      </c>
      <c r="E439" s="240">
        <v>46107.0</v>
      </c>
      <c r="F439" s="90"/>
    </row>
    <row r="440" ht="22.5" customHeight="1">
      <c r="A440" s="221">
        <v>2.07</v>
      </c>
      <c r="B440" s="223" t="s">
        <v>35</v>
      </c>
      <c r="C440" s="224" t="s">
        <v>371</v>
      </c>
      <c r="D440" s="223" t="s">
        <v>592</v>
      </c>
      <c r="E440" s="240">
        <v>46107.0</v>
      </c>
      <c r="F440" s="90"/>
    </row>
    <row r="441" ht="22.5" customHeight="1">
      <c r="A441" s="221">
        <v>13.29</v>
      </c>
      <c r="B441" s="223" t="s">
        <v>35</v>
      </c>
      <c r="C441" s="224" t="s">
        <v>371</v>
      </c>
      <c r="D441" s="223" t="s">
        <v>593</v>
      </c>
      <c r="E441" s="240">
        <v>46107.0</v>
      </c>
      <c r="F441" s="90"/>
    </row>
    <row r="442" ht="22.5" customHeight="1">
      <c r="A442" s="221">
        <v>3.8</v>
      </c>
      <c r="B442" s="223" t="s">
        <v>35</v>
      </c>
      <c r="C442" s="224" t="s">
        <v>594</v>
      </c>
      <c r="D442" s="223" t="s">
        <v>595</v>
      </c>
      <c r="E442" s="240">
        <v>46107.0</v>
      </c>
      <c r="F442" s="90"/>
    </row>
    <row r="443" ht="22.5" customHeight="1">
      <c r="A443" s="221">
        <v>20.77</v>
      </c>
      <c r="B443" s="223" t="s">
        <v>35</v>
      </c>
      <c r="C443" s="224" t="s">
        <v>438</v>
      </c>
      <c r="D443" s="223" t="s">
        <v>596</v>
      </c>
      <c r="E443" s="240">
        <v>46107.0</v>
      </c>
      <c r="F443" s="90"/>
    </row>
    <row r="444" ht="22.5" customHeight="1">
      <c r="A444" s="221">
        <v>23.44</v>
      </c>
      <c r="B444" s="223" t="s">
        <v>35</v>
      </c>
      <c r="C444" s="224" t="s">
        <v>547</v>
      </c>
      <c r="D444" s="223" t="s">
        <v>597</v>
      </c>
      <c r="E444" s="240">
        <v>46107.0</v>
      </c>
      <c r="F444" s="90"/>
    </row>
    <row r="445" ht="22.5" customHeight="1">
      <c r="A445" s="221">
        <v>0.69</v>
      </c>
      <c r="B445" s="223" t="s">
        <v>35</v>
      </c>
      <c r="C445" s="224" t="s">
        <v>251</v>
      </c>
      <c r="D445" s="223" t="s">
        <v>598</v>
      </c>
      <c r="E445" s="240">
        <v>46108.0</v>
      </c>
      <c r="F445" s="90"/>
    </row>
    <row r="446" ht="22.5" customHeight="1">
      <c r="A446" s="221">
        <v>3.42</v>
      </c>
      <c r="B446" s="223" t="s">
        <v>35</v>
      </c>
      <c r="C446" s="224" t="s">
        <v>547</v>
      </c>
      <c r="D446" s="223" t="s">
        <v>599</v>
      </c>
      <c r="E446" s="240">
        <v>46110.0</v>
      </c>
      <c r="F446" s="90"/>
    </row>
    <row r="447" ht="22.5" customHeight="1">
      <c r="A447" s="221">
        <v>0.58</v>
      </c>
      <c r="B447" s="223" t="s">
        <v>35</v>
      </c>
      <c r="C447" s="224" t="s">
        <v>364</v>
      </c>
      <c r="D447" s="223" t="s">
        <v>600</v>
      </c>
      <c r="E447" s="240">
        <v>46110.0</v>
      </c>
      <c r="F447" s="90"/>
    </row>
    <row r="448" ht="22.5" customHeight="1">
      <c r="A448" s="221">
        <v>9.61</v>
      </c>
      <c r="B448" s="223" t="s">
        <v>35</v>
      </c>
      <c r="C448" s="224" t="s">
        <v>547</v>
      </c>
      <c r="D448" s="223" t="s">
        <v>601</v>
      </c>
      <c r="E448" s="240">
        <v>46110.0</v>
      </c>
      <c r="F448" s="90"/>
    </row>
    <row r="449" ht="22.5" customHeight="1">
      <c r="A449" s="221">
        <v>0.68</v>
      </c>
      <c r="B449" s="223" t="s">
        <v>35</v>
      </c>
      <c r="C449" s="224" t="s">
        <v>547</v>
      </c>
      <c r="D449" s="223" t="s">
        <v>601</v>
      </c>
      <c r="E449" s="274" t="s">
        <v>602</v>
      </c>
      <c r="F449" s="90"/>
    </row>
    <row r="450" ht="22.5" customHeight="1">
      <c r="A450" s="221">
        <v>5.49</v>
      </c>
      <c r="B450" s="223" t="s">
        <v>35</v>
      </c>
      <c r="C450" s="224" t="s">
        <v>274</v>
      </c>
      <c r="D450" s="223" t="s">
        <v>603</v>
      </c>
      <c r="E450" s="274" t="s">
        <v>604</v>
      </c>
      <c r="F450" s="90"/>
    </row>
    <row r="451" ht="22.5" customHeight="1">
      <c r="A451" s="221">
        <v>1.19</v>
      </c>
      <c r="B451" s="223" t="s">
        <v>35</v>
      </c>
      <c r="C451" s="224" t="s">
        <v>251</v>
      </c>
      <c r="D451" s="223" t="s">
        <v>605</v>
      </c>
      <c r="E451" s="274" t="s">
        <v>604</v>
      </c>
      <c r="F451" s="90"/>
    </row>
    <row r="452" ht="22.5" customHeight="1">
      <c r="A452" s="221">
        <v>21292.5</v>
      </c>
      <c r="B452" s="223" t="s">
        <v>15</v>
      </c>
      <c r="C452" s="224" t="s">
        <v>594</v>
      </c>
      <c r="D452" s="223" t="s">
        <v>606</v>
      </c>
      <c r="E452" s="274" t="s">
        <v>607</v>
      </c>
      <c r="F452" s="90"/>
    </row>
    <row r="453" ht="22.5" customHeight="1">
      <c r="A453" s="221">
        <v>17.1</v>
      </c>
      <c r="B453" s="223" t="s">
        <v>35</v>
      </c>
      <c r="C453" s="224" t="s">
        <v>121</v>
      </c>
      <c r="D453" s="223" t="s">
        <v>608</v>
      </c>
      <c r="E453" s="274" t="s">
        <v>609</v>
      </c>
      <c r="F453" s="90"/>
    </row>
    <row r="454" ht="22.5" customHeight="1">
      <c r="A454" s="221">
        <v>14000.0</v>
      </c>
      <c r="B454" s="223" t="s">
        <v>15</v>
      </c>
      <c r="C454" s="224" t="s">
        <v>547</v>
      </c>
      <c r="D454" s="223" t="s">
        <v>610</v>
      </c>
      <c r="E454" s="274" t="s">
        <v>609</v>
      </c>
      <c r="F454" s="90"/>
    </row>
    <row r="455" ht="22.5" customHeight="1">
      <c r="A455" s="221">
        <v>9.59</v>
      </c>
      <c r="B455" s="223" t="s">
        <v>35</v>
      </c>
      <c r="C455" s="224" t="s">
        <v>547</v>
      </c>
      <c r="D455" s="223" t="s">
        <v>611</v>
      </c>
      <c r="E455" s="274" t="s">
        <v>609</v>
      </c>
      <c r="F455" s="90"/>
    </row>
    <row r="456" ht="22.5" customHeight="1">
      <c r="A456" s="221">
        <v>1.72</v>
      </c>
      <c r="B456" s="223" t="s">
        <v>35</v>
      </c>
      <c r="C456" s="224" t="s">
        <v>371</v>
      </c>
      <c r="D456" s="223" t="s">
        <v>612</v>
      </c>
      <c r="E456" s="274" t="s">
        <v>609</v>
      </c>
      <c r="F456" s="90"/>
    </row>
    <row r="457" ht="22.5" customHeight="1">
      <c r="A457" s="221">
        <v>900.0</v>
      </c>
      <c r="B457" s="223" t="s">
        <v>26</v>
      </c>
      <c r="C457" s="224" t="s">
        <v>125</v>
      </c>
      <c r="D457" s="223" t="s">
        <v>164</v>
      </c>
      <c r="E457" s="274" t="s">
        <v>613</v>
      </c>
      <c r="F457" s="90"/>
    </row>
    <row r="458" ht="22.5" customHeight="1">
      <c r="A458" s="221">
        <v>13.8675</v>
      </c>
      <c r="B458" s="223" t="s">
        <v>35</v>
      </c>
      <c r="C458" s="224" t="s">
        <v>125</v>
      </c>
      <c r="D458" s="223" t="s">
        <v>226</v>
      </c>
      <c r="E458" s="274" t="s">
        <v>613</v>
      </c>
      <c r="F458" s="90"/>
    </row>
    <row r="459" ht="22.5" customHeight="1">
      <c r="A459" s="233"/>
      <c r="B459" s="227"/>
      <c r="C459" s="234"/>
      <c r="D459" s="226"/>
      <c r="E459" s="275"/>
      <c r="F459" s="90"/>
    </row>
    <row r="460" ht="22.5" customHeight="1">
      <c r="A460" s="233"/>
      <c r="B460" s="227"/>
      <c r="C460" s="234"/>
      <c r="D460" s="226"/>
      <c r="E460" s="275"/>
      <c r="F460" s="90"/>
    </row>
    <row r="461" ht="22.5" customHeight="1">
      <c r="A461" s="233"/>
      <c r="B461" s="227"/>
      <c r="C461" s="234"/>
      <c r="D461" s="226"/>
      <c r="E461" s="275"/>
      <c r="F461" s="90"/>
    </row>
    <row r="462" ht="22.5" customHeight="1">
      <c r="A462" s="233"/>
      <c r="B462" s="227"/>
      <c r="C462" s="234"/>
      <c r="D462" s="226"/>
      <c r="E462" s="275"/>
      <c r="F462" s="90"/>
    </row>
    <row r="463" ht="22.5" customHeight="1">
      <c r="A463" s="233"/>
      <c r="B463" s="227"/>
      <c r="C463" s="234"/>
      <c r="D463" s="226"/>
      <c r="E463" s="275"/>
      <c r="F463" s="90"/>
    </row>
    <row r="464" ht="22.5" customHeight="1">
      <c r="A464" s="233"/>
      <c r="B464" s="227"/>
      <c r="C464" s="234"/>
      <c r="D464" s="226"/>
      <c r="E464" s="275"/>
      <c r="F464" s="90"/>
    </row>
    <row r="465" ht="22.5" customHeight="1">
      <c r="A465" s="233"/>
      <c r="B465" s="227"/>
      <c r="C465" s="234"/>
      <c r="D465" s="226"/>
      <c r="E465" s="275"/>
      <c r="F465" s="90"/>
    </row>
    <row r="466" ht="22.5" customHeight="1">
      <c r="A466" s="233"/>
      <c r="B466" s="227"/>
      <c r="C466" s="234"/>
      <c r="D466" s="226"/>
      <c r="E466" s="275"/>
      <c r="F466" s="90"/>
    </row>
    <row r="467" ht="22.5" customHeight="1">
      <c r="A467" s="233"/>
      <c r="B467" s="227"/>
      <c r="C467" s="234"/>
      <c r="D467" s="226"/>
      <c r="E467" s="275"/>
      <c r="F467" s="90"/>
    </row>
    <row r="468" ht="22.5" customHeight="1">
      <c r="A468" s="233"/>
      <c r="B468" s="227"/>
      <c r="C468" s="234"/>
      <c r="D468" s="226"/>
      <c r="E468" s="275"/>
      <c r="F468" s="90"/>
    </row>
    <row r="469" ht="22.5" customHeight="1">
      <c r="A469" s="233"/>
      <c r="B469" s="227"/>
      <c r="C469" s="234"/>
      <c r="D469" s="226"/>
      <c r="E469" s="275"/>
      <c r="F469" s="90"/>
    </row>
    <row r="470" ht="22.5" customHeight="1">
      <c r="A470" s="233"/>
      <c r="B470" s="227"/>
      <c r="C470" s="234"/>
      <c r="D470" s="226"/>
      <c r="E470" s="275"/>
      <c r="F470" s="90"/>
    </row>
    <row r="471" ht="22.5" customHeight="1">
      <c r="A471" s="233"/>
      <c r="B471" s="227"/>
      <c r="C471" s="234"/>
      <c r="D471" s="226"/>
      <c r="E471" s="275"/>
      <c r="F471" s="90"/>
    </row>
    <row r="472" ht="22.5" customHeight="1">
      <c r="A472" s="233"/>
      <c r="B472" s="227"/>
      <c r="C472" s="234"/>
      <c r="D472" s="226"/>
      <c r="E472" s="275"/>
      <c r="F472" s="90"/>
    </row>
    <row r="473" ht="22.5" customHeight="1">
      <c r="A473" s="233"/>
      <c r="B473" s="227"/>
      <c r="C473" s="234"/>
      <c r="D473" s="226"/>
      <c r="E473" s="275"/>
      <c r="F473" s="90"/>
    </row>
    <row r="474" ht="22.5" customHeight="1">
      <c r="A474" s="233"/>
      <c r="B474" s="227"/>
      <c r="C474" s="234"/>
      <c r="D474" s="226"/>
      <c r="E474" s="275"/>
      <c r="F474" s="90"/>
    </row>
    <row r="475" ht="22.5" customHeight="1">
      <c r="A475" s="233"/>
      <c r="B475" s="227"/>
      <c r="C475" s="234"/>
      <c r="D475" s="226"/>
      <c r="E475" s="275"/>
      <c r="F475" s="90"/>
    </row>
    <row r="476" ht="22.5" customHeight="1">
      <c r="A476" s="233"/>
      <c r="B476" s="227"/>
      <c r="C476" s="234"/>
      <c r="D476" s="226"/>
      <c r="E476" s="275"/>
      <c r="F476" s="90"/>
    </row>
    <row r="477" ht="22.5" customHeight="1">
      <c r="A477" s="233"/>
      <c r="B477" s="227"/>
      <c r="C477" s="234"/>
      <c r="D477" s="226"/>
      <c r="E477" s="275"/>
      <c r="F477" s="90"/>
    </row>
    <row r="478" ht="22.5" customHeight="1">
      <c r="A478" s="233"/>
      <c r="B478" s="227"/>
      <c r="C478" s="234"/>
      <c r="D478" s="226"/>
      <c r="E478" s="275"/>
      <c r="F478" s="90"/>
    </row>
    <row r="479" ht="22.5" customHeight="1">
      <c r="A479" s="233"/>
      <c r="B479" s="227"/>
      <c r="C479" s="234"/>
      <c r="D479" s="226"/>
      <c r="E479" s="275"/>
      <c r="F479" s="90"/>
    </row>
    <row r="480" ht="22.5" customHeight="1">
      <c r="A480" s="233"/>
      <c r="B480" s="227"/>
      <c r="C480" s="234"/>
      <c r="D480" s="226"/>
      <c r="E480" s="275"/>
      <c r="F480" s="90"/>
    </row>
    <row r="481" ht="22.5" customHeight="1">
      <c r="A481" s="233"/>
      <c r="B481" s="227"/>
      <c r="C481" s="234"/>
      <c r="D481" s="226"/>
      <c r="E481" s="275"/>
      <c r="F481" s="90"/>
    </row>
    <row r="482" ht="22.5" customHeight="1">
      <c r="A482" s="233"/>
      <c r="B482" s="227"/>
      <c r="C482" s="234"/>
      <c r="D482" s="226"/>
      <c r="E482" s="275"/>
      <c r="F482" s="90"/>
    </row>
    <row r="483" ht="22.5" customHeight="1">
      <c r="A483" s="233"/>
      <c r="B483" s="227"/>
      <c r="C483" s="234"/>
      <c r="D483" s="226"/>
      <c r="E483" s="275"/>
      <c r="F483" s="90"/>
    </row>
    <row r="484" ht="22.5" customHeight="1">
      <c r="A484" s="233"/>
      <c r="B484" s="227"/>
      <c r="C484" s="234"/>
      <c r="D484" s="226"/>
      <c r="E484" s="275"/>
      <c r="F484" s="90"/>
    </row>
    <row r="485" ht="22.5" customHeight="1">
      <c r="A485" s="233"/>
      <c r="B485" s="227"/>
      <c r="C485" s="234"/>
      <c r="D485" s="226"/>
      <c r="E485" s="275"/>
      <c r="F485" s="90"/>
    </row>
    <row r="486" ht="22.5" customHeight="1">
      <c r="A486" s="233"/>
      <c r="B486" s="227"/>
      <c r="C486" s="234"/>
      <c r="D486" s="226"/>
      <c r="E486" s="275"/>
      <c r="F486" s="90"/>
    </row>
    <row r="487" ht="22.5" customHeight="1">
      <c r="A487" s="233"/>
      <c r="B487" s="227"/>
      <c r="C487" s="234"/>
      <c r="D487" s="226"/>
      <c r="E487" s="275"/>
      <c r="F487" s="90"/>
    </row>
    <row r="488" ht="22.5" customHeight="1">
      <c r="A488" s="233"/>
      <c r="B488" s="227"/>
      <c r="C488" s="234"/>
      <c r="D488" s="226"/>
      <c r="E488" s="275"/>
      <c r="F488" s="90"/>
    </row>
    <row r="489" ht="22.5" customHeight="1">
      <c r="A489" s="233"/>
      <c r="B489" s="227"/>
      <c r="C489" s="234"/>
      <c r="D489" s="226"/>
      <c r="E489" s="275"/>
      <c r="F489" s="90"/>
    </row>
    <row r="490" ht="22.5" customHeight="1">
      <c r="A490" s="233"/>
      <c r="B490" s="227"/>
      <c r="C490" s="234"/>
      <c r="D490" s="226"/>
      <c r="E490" s="275"/>
      <c r="F490" s="90"/>
    </row>
    <row r="491" ht="22.5" customHeight="1">
      <c r="A491" s="233"/>
      <c r="B491" s="227"/>
      <c r="C491" s="234"/>
      <c r="D491" s="226"/>
      <c r="E491" s="275"/>
      <c r="F491" s="90"/>
    </row>
    <row r="492" ht="22.5" customHeight="1">
      <c r="A492" s="233"/>
      <c r="B492" s="227"/>
      <c r="C492" s="234"/>
      <c r="D492" s="226"/>
      <c r="E492" s="275"/>
      <c r="F492" s="90"/>
    </row>
    <row r="493" ht="22.5" customHeight="1">
      <c r="A493" s="233"/>
      <c r="B493" s="227"/>
      <c r="C493" s="234"/>
      <c r="D493" s="226"/>
      <c r="E493" s="275"/>
      <c r="F493" s="90"/>
    </row>
    <row r="494" ht="22.5" customHeight="1">
      <c r="A494" s="233"/>
      <c r="B494" s="227"/>
      <c r="C494" s="234"/>
      <c r="D494" s="226"/>
      <c r="E494" s="275"/>
      <c r="F494" s="90"/>
    </row>
    <row r="495" ht="22.5" customHeight="1">
      <c r="A495" s="233"/>
      <c r="B495" s="227"/>
      <c r="C495" s="234"/>
      <c r="D495" s="226"/>
      <c r="E495" s="275"/>
      <c r="F495" s="90"/>
    </row>
    <row r="496" ht="22.5" customHeight="1">
      <c r="A496" s="233"/>
      <c r="B496" s="227"/>
      <c r="C496" s="234"/>
      <c r="D496" s="226"/>
      <c r="E496" s="275"/>
      <c r="F496" s="90"/>
    </row>
    <row r="497" ht="22.5" customHeight="1">
      <c r="A497" s="233"/>
      <c r="B497" s="227"/>
      <c r="C497" s="234"/>
      <c r="D497" s="226"/>
      <c r="E497" s="275"/>
      <c r="F497" s="90"/>
    </row>
    <row r="498" ht="22.5" customHeight="1">
      <c r="A498" s="233"/>
      <c r="B498" s="227"/>
      <c r="C498" s="234"/>
      <c r="D498" s="226"/>
      <c r="E498" s="275"/>
      <c r="F498" s="90"/>
    </row>
    <row r="499" ht="22.5" customHeight="1">
      <c r="A499" s="233"/>
      <c r="B499" s="227"/>
      <c r="C499" s="234"/>
      <c r="D499" s="226"/>
      <c r="E499" s="275"/>
      <c r="F499" s="90"/>
    </row>
    <row r="500" ht="22.5" customHeight="1">
      <c r="A500" s="233"/>
      <c r="B500" s="227"/>
      <c r="C500" s="234"/>
      <c r="D500" s="226"/>
      <c r="E500" s="275"/>
      <c r="F500" s="90"/>
    </row>
    <row r="501" ht="22.5" customHeight="1">
      <c r="A501" s="233"/>
      <c r="B501" s="227"/>
      <c r="C501" s="234"/>
      <c r="D501" s="226"/>
      <c r="E501" s="275"/>
      <c r="F501" s="90"/>
    </row>
    <row r="502" ht="22.5" customHeight="1">
      <c r="A502" s="233"/>
      <c r="B502" s="227"/>
      <c r="C502" s="234"/>
      <c r="D502" s="226"/>
      <c r="E502" s="275"/>
      <c r="F502" s="90"/>
    </row>
    <row r="503" ht="22.5" customHeight="1">
      <c r="A503" s="233"/>
      <c r="B503" s="227"/>
      <c r="C503" s="234"/>
      <c r="D503" s="226"/>
      <c r="E503" s="275"/>
      <c r="F503" s="90"/>
    </row>
    <row r="504" ht="22.5" customHeight="1">
      <c r="A504" s="233"/>
      <c r="B504" s="227"/>
      <c r="C504" s="234"/>
      <c r="D504" s="226"/>
      <c r="E504" s="275"/>
      <c r="F504" s="90"/>
    </row>
    <row r="505" ht="22.5" customHeight="1">
      <c r="A505" s="233"/>
      <c r="B505" s="227"/>
      <c r="C505" s="234"/>
      <c r="D505" s="226"/>
      <c r="E505" s="275"/>
      <c r="F505" s="90"/>
    </row>
    <row r="506" ht="22.5" customHeight="1">
      <c r="A506" s="233"/>
      <c r="B506" s="227"/>
      <c r="C506" s="234"/>
      <c r="D506" s="226"/>
      <c r="E506" s="275"/>
      <c r="F506" s="90"/>
    </row>
    <row r="507" ht="22.5" customHeight="1">
      <c r="A507" s="233"/>
      <c r="B507" s="227"/>
      <c r="C507" s="234"/>
      <c r="D507" s="226"/>
      <c r="E507" s="275"/>
      <c r="F507" s="90"/>
    </row>
    <row r="508" ht="22.5" customHeight="1">
      <c r="A508" s="233"/>
      <c r="B508" s="227"/>
      <c r="C508" s="234"/>
      <c r="D508" s="226"/>
      <c r="E508" s="275"/>
      <c r="F508" s="90"/>
    </row>
    <row r="509" ht="22.5" customHeight="1">
      <c r="A509" s="233"/>
      <c r="B509" s="227"/>
      <c r="C509" s="234"/>
      <c r="D509" s="226"/>
      <c r="E509" s="275"/>
      <c r="F509" s="90"/>
    </row>
    <row r="510" ht="22.5" customHeight="1">
      <c r="A510" s="233"/>
      <c r="B510" s="227"/>
      <c r="C510" s="234"/>
      <c r="D510" s="226"/>
      <c r="E510" s="275"/>
      <c r="F510" s="90"/>
    </row>
    <row r="511" ht="22.5" customHeight="1">
      <c r="A511" s="233"/>
      <c r="B511" s="227"/>
      <c r="C511" s="234"/>
      <c r="D511" s="226"/>
      <c r="E511" s="275"/>
      <c r="F511" s="90"/>
    </row>
    <row r="512" ht="22.5" customHeight="1">
      <c r="A512" s="233"/>
      <c r="B512" s="227"/>
      <c r="C512" s="234"/>
      <c r="D512" s="226"/>
      <c r="E512" s="275"/>
      <c r="F512" s="90"/>
    </row>
    <row r="513" ht="22.5" customHeight="1">
      <c r="A513" s="233"/>
      <c r="B513" s="227"/>
      <c r="C513" s="234"/>
      <c r="D513" s="226"/>
      <c r="E513" s="275"/>
      <c r="F513" s="90"/>
    </row>
    <row r="514" ht="22.5" customHeight="1">
      <c r="A514" s="233"/>
      <c r="B514" s="227"/>
      <c r="C514" s="234"/>
      <c r="D514" s="226"/>
      <c r="E514" s="275"/>
      <c r="F514" s="90"/>
    </row>
    <row r="515" ht="22.5" customHeight="1">
      <c r="A515" s="233"/>
      <c r="B515" s="227"/>
      <c r="C515" s="234"/>
      <c r="D515" s="226"/>
      <c r="E515" s="275"/>
      <c r="F515" s="90"/>
    </row>
    <row r="516" ht="22.5" customHeight="1">
      <c r="A516" s="233"/>
      <c r="B516" s="227"/>
      <c r="C516" s="234"/>
      <c r="D516" s="226"/>
      <c r="E516" s="275"/>
      <c r="F516" s="90"/>
    </row>
    <row r="517" ht="22.5" customHeight="1">
      <c r="A517" s="233"/>
      <c r="B517" s="227"/>
      <c r="C517" s="234"/>
      <c r="D517" s="226"/>
      <c r="E517" s="275"/>
      <c r="F517" s="90"/>
    </row>
    <row r="518" ht="22.5" customHeight="1">
      <c r="A518" s="233"/>
      <c r="B518" s="227"/>
      <c r="C518" s="234"/>
      <c r="D518" s="226"/>
      <c r="E518" s="275"/>
      <c r="F518" s="90"/>
    </row>
    <row r="519" ht="22.5" customHeight="1">
      <c r="A519" s="233"/>
      <c r="B519" s="227"/>
      <c r="C519" s="234"/>
      <c r="D519" s="226"/>
      <c r="E519" s="275"/>
      <c r="F519" s="90"/>
    </row>
    <row r="520" ht="22.5" customHeight="1">
      <c r="A520" s="233"/>
      <c r="B520" s="227"/>
      <c r="C520" s="234"/>
      <c r="D520" s="226"/>
      <c r="E520" s="275"/>
      <c r="F520" s="90"/>
    </row>
    <row r="521" ht="22.5" customHeight="1">
      <c r="A521" s="233"/>
      <c r="B521" s="227"/>
      <c r="C521" s="234"/>
      <c r="D521" s="226"/>
      <c r="E521" s="275"/>
      <c r="F521" s="90"/>
    </row>
    <row r="522" ht="22.5" customHeight="1">
      <c r="A522" s="233"/>
      <c r="B522" s="227"/>
      <c r="C522" s="234"/>
      <c r="D522" s="226"/>
      <c r="E522" s="275"/>
      <c r="F522" s="90"/>
    </row>
    <row r="523" ht="22.5" customHeight="1">
      <c r="A523" s="233"/>
      <c r="B523" s="227"/>
      <c r="C523" s="234"/>
      <c r="D523" s="226"/>
      <c r="E523" s="275"/>
      <c r="F523" s="90"/>
    </row>
    <row r="524" ht="22.5" customHeight="1">
      <c r="A524" s="233"/>
      <c r="B524" s="227"/>
      <c r="C524" s="234"/>
      <c r="D524" s="226"/>
      <c r="E524" s="275"/>
      <c r="F524" s="90"/>
    </row>
    <row r="525" ht="22.5" customHeight="1">
      <c r="A525" s="233"/>
      <c r="B525" s="227"/>
      <c r="C525" s="234"/>
      <c r="D525" s="226"/>
      <c r="E525" s="275"/>
      <c r="F525" s="90"/>
    </row>
    <row r="526" ht="22.5" customHeight="1">
      <c r="A526" s="233"/>
      <c r="B526" s="227"/>
      <c r="C526" s="234"/>
      <c r="D526" s="226"/>
      <c r="E526" s="275"/>
      <c r="F526" s="90"/>
    </row>
    <row r="527" ht="22.5" customHeight="1">
      <c r="A527" s="233"/>
      <c r="B527" s="227"/>
      <c r="C527" s="234"/>
      <c r="D527" s="226"/>
      <c r="E527" s="275"/>
      <c r="F527" s="90"/>
    </row>
    <row r="528" ht="22.5" customHeight="1">
      <c r="A528" s="233"/>
      <c r="B528" s="227"/>
      <c r="C528" s="234"/>
      <c r="D528" s="226"/>
      <c r="E528" s="275"/>
      <c r="F528" s="90"/>
    </row>
    <row r="529" ht="22.5" customHeight="1">
      <c r="A529" s="233"/>
      <c r="B529" s="227"/>
      <c r="C529" s="234"/>
      <c r="D529" s="226"/>
      <c r="E529" s="275"/>
      <c r="F529" s="90"/>
    </row>
    <row r="530" ht="22.5" customHeight="1">
      <c r="A530" s="233"/>
      <c r="B530" s="227"/>
      <c r="C530" s="234"/>
      <c r="D530" s="226"/>
      <c r="E530" s="275"/>
      <c r="F530" s="90"/>
    </row>
    <row r="531" ht="22.5" customHeight="1">
      <c r="A531" s="233"/>
      <c r="B531" s="227"/>
      <c r="C531" s="234"/>
      <c r="D531" s="226"/>
      <c r="E531" s="275"/>
      <c r="F531" s="90"/>
    </row>
    <row r="532" ht="22.5" customHeight="1">
      <c r="A532" s="233"/>
      <c r="B532" s="227"/>
      <c r="C532" s="234"/>
      <c r="D532" s="226"/>
      <c r="E532" s="275"/>
      <c r="F532" s="90"/>
    </row>
    <row r="533" ht="22.5" customHeight="1">
      <c r="A533" s="233"/>
      <c r="B533" s="227"/>
      <c r="C533" s="234"/>
      <c r="D533" s="226"/>
      <c r="E533" s="275"/>
      <c r="F533" s="90"/>
    </row>
    <row r="534" ht="22.5" customHeight="1">
      <c r="A534" s="233"/>
      <c r="B534" s="227"/>
      <c r="C534" s="234"/>
      <c r="D534" s="226"/>
      <c r="E534" s="275"/>
      <c r="F534" s="90"/>
    </row>
    <row r="535" ht="22.5" customHeight="1">
      <c r="A535" s="233"/>
      <c r="B535" s="227"/>
      <c r="C535" s="234"/>
      <c r="D535" s="226"/>
      <c r="E535" s="275"/>
      <c r="F535" s="90"/>
    </row>
    <row r="536" ht="22.5" customHeight="1">
      <c r="A536" s="233"/>
      <c r="B536" s="227"/>
      <c r="C536" s="234"/>
      <c r="D536" s="226"/>
      <c r="E536" s="275"/>
      <c r="F536" s="90"/>
    </row>
    <row r="537" ht="22.5" customHeight="1">
      <c r="A537" s="233"/>
      <c r="B537" s="227"/>
      <c r="C537" s="234"/>
      <c r="D537" s="226"/>
      <c r="E537" s="275"/>
      <c r="F537" s="90"/>
    </row>
    <row r="538" ht="22.5" customHeight="1">
      <c r="A538" s="233"/>
      <c r="B538" s="227"/>
      <c r="C538" s="234"/>
      <c r="D538" s="226"/>
      <c r="E538" s="275"/>
      <c r="F538" s="90"/>
    </row>
    <row r="539" ht="22.5" customHeight="1">
      <c r="A539" s="233"/>
      <c r="B539" s="227"/>
      <c r="C539" s="234"/>
      <c r="D539" s="226"/>
      <c r="E539" s="275"/>
      <c r="F539" s="90"/>
    </row>
    <row r="540" ht="22.5" customHeight="1">
      <c r="A540" s="233"/>
      <c r="B540" s="227"/>
      <c r="C540" s="234"/>
      <c r="D540" s="226"/>
      <c r="E540" s="275"/>
      <c r="F540" s="90"/>
    </row>
    <row r="541" ht="22.5" customHeight="1">
      <c r="A541" s="233"/>
      <c r="B541" s="227"/>
      <c r="C541" s="234"/>
      <c r="D541" s="226"/>
      <c r="E541" s="275"/>
      <c r="F541" s="90"/>
    </row>
    <row r="542" ht="22.5" customHeight="1">
      <c r="A542" s="233"/>
      <c r="B542" s="227"/>
      <c r="C542" s="234"/>
      <c r="D542" s="226"/>
      <c r="E542" s="275"/>
      <c r="F542" s="90"/>
    </row>
    <row r="543" ht="22.5" customHeight="1">
      <c r="A543" s="233"/>
      <c r="B543" s="227"/>
      <c r="C543" s="234"/>
      <c r="D543" s="226"/>
      <c r="E543" s="275"/>
      <c r="F543" s="90"/>
    </row>
    <row r="544" ht="22.5" customHeight="1">
      <c r="A544" s="233"/>
      <c r="B544" s="227"/>
      <c r="C544" s="234"/>
      <c r="D544" s="226"/>
      <c r="E544" s="275"/>
      <c r="F544" s="90"/>
    </row>
    <row r="545" ht="22.5" customHeight="1">
      <c r="A545" s="233"/>
      <c r="B545" s="227"/>
      <c r="C545" s="234"/>
      <c r="D545" s="226"/>
      <c r="E545" s="275"/>
      <c r="F545" s="90"/>
    </row>
    <row r="546" ht="22.5" customHeight="1">
      <c r="A546" s="233"/>
      <c r="B546" s="227"/>
      <c r="C546" s="234"/>
      <c r="D546" s="226"/>
      <c r="E546" s="275"/>
      <c r="F546" s="90"/>
    </row>
    <row r="547" ht="22.5" customHeight="1">
      <c r="A547" s="233"/>
      <c r="B547" s="227"/>
      <c r="C547" s="234"/>
      <c r="D547" s="226"/>
      <c r="E547" s="275"/>
      <c r="F547" s="90"/>
    </row>
    <row r="548" ht="22.5" customHeight="1">
      <c r="A548" s="233"/>
      <c r="B548" s="227"/>
      <c r="C548" s="234"/>
      <c r="D548" s="226"/>
      <c r="E548" s="275"/>
      <c r="F548" s="90"/>
    </row>
    <row r="549" ht="22.5" customHeight="1">
      <c r="A549" s="233"/>
      <c r="B549" s="227"/>
      <c r="C549" s="234"/>
      <c r="D549" s="226"/>
      <c r="E549" s="275"/>
      <c r="F549" s="90"/>
    </row>
    <row r="550" ht="22.5" customHeight="1">
      <c r="A550" s="233"/>
      <c r="B550" s="227"/>
      <c r="C550" s="234"/>
      <c r="D550" s="226"/>
      <c r="E550" s="275"/>
      <c r="F550" s="90"/>
    </row>
    <row r="551" ht="22.5" customHeight="1">
      <c r="A551" s="233"/>
      <c r="B551" s="227"/>
      <c r="C551" s="234"/>
      <c r="D551" s="226"/>
      <c r="E551" s="275"/>
      <c r="F551" s="90"/>
    </row>
    <row r="552" ht="22.5" customHeight="1">
      <c r="A552" s="233"/>
      <c r="B552" s="227"/>
      <c r="C552" s="234"/>
      <c r="D552" s="226"/>
      <c r="E552" s="275"/>
      <c r="F552" s="90"/>
    </row>
    <row r="553" ht="22.5" customHeight="1">
      <c r="A553" s="233"/>
      <c r="B553" s="227"/>
      <c r="C553" s="234"/>
      <c r="D553" s="226"/>
      <c r="E553" s="275"/>
      <c r="F553" s="90"/>
    </row>
    <row r="554" ht="22.5" customHeight="1">
      <c r="A554" s="233"/>
      <c r="B554" s="227"/>
      <c r="C554" s="234"/>
      <c r="D554" s="226"/>
      <c r="E554" s="275"/>
      <c r="F554" s="90"/>
    </row>
    <row r="555" ht="22.5" customHeight="1">
      <c r="A555" s="233"/>
      <c r="B555" s="227"/>
      <c r="C555" s="234"/>
      <c r="D555" s="226"/>
      <c r="E555" s="275"/>
      <c r="F555" s="90"/>
    </row>
    <row r="556" ht="22.5" customHeight="1">
      <c r="A556" s="233"/>
      <c r="B556" s="227"/>
      <c r="C556" s="234"/>
      <c r="D556" s="226"/>
      <c r="E556" s="275"/>
      <c r="F556" s="90"/>
    </row>
    <row r="557" ht="22.5" customHeight="1">
      <c r="A557" s="233"/>
      <c r="B557" s="227"/>
      <c r="C557" s="234"/>
      <c r="D557" s="226"/>
      <c r="E557" s="275"/>
      <c r="F557" s="90"/>
    </row>
    <row r="558" ht="22.5" customHeight="1">
      <c r="A558" s="233"/>
      <c r="B558" s="227"/>
      <c r="C558" s="234"/>
      <c r="D558" s="226"/>
      <c r="E558" s="275"/>
      <c r="F558" s="90"/>
    </row>
    <row r="559" ht="22.5" customHeight="1">
      <c r="A559" s="233"/>
      <c r="B559" s="227"/>
      <c r="C559" s="234"/>
      <c r="D559" s="226"/>
      <c r="E559" s="275"/>
      <c r="F559" s="90"/>
    </row>
    <row r="560" ht="22.5" customHeight="1">
      <c r="A560" s="233"/>
      <c r="B560" s="227"/>
      <c r="C560" s="234"/>
      <c r="D560" s="226"/>
      <c r="E560" s="275"/>
      <c r="F560" s="90"/>
    </row>
    <row r="561" ht="22.5" customHeight="1">
      <c r="A561" s="233"/>
      <c r="B561" s="227"/>
      <c r="C561" s="234"/>
      <c r="D561" s="226"/>
      <c r="E561" s="275"/>
      <c r="F561" s="90"/>
    </row>
    <row r="562" ht="22.5" customHeight="1">
      <c r="A562" s="233"/>
      <c r="B562" s="227"/>
      <c r="C562" s="234"/>
      <c r="D562" s="226"/>
      <c r="E562" s="275"/>
      <c r="F562" s="90"/>
    </row>
    <row r="563" ht="22.5" customHeight="1">
      <c r="A563" s="233"/>
      <c r="B563" s="227"/>
      <c r="C563" s="234"/>
      <c r="D563" s="226"/>
      <c r="E563" s="275"/>
      <c r="F563" s="90"/>
    </row>
    <row r="564" ht="22.5" customHeight="1">
      <c r="A564" s="233"/>
      <c r="B564" s="227"/>
      <c r="C564" s="234"/>
      <c r="D564" s="226"/>
      <c r="E564" s="275"/>
      <c r="F564" s="90"/>
    </row>
    <row r="565" ht="22.5" customHeight="1">
      <c r="A565" s="233"/>
      <c r="B565" s="227"/>
      <c r="C565" s="234"/>
      <c r="D565" s="226"/>
      <c r="E565" s="275"/>
      <c r="F565" s="90"/>
    </row>
    <row r="566" ht="22.5" customHeight="1">
      <c r="A566" s="233"/>
      <c r="B566" s="227"/>
      <c r="C566" s="234"/>
      <c r="D566" s="226"/>
      <c r="E566" s="275"/>
      <c r="F566" s="90"/>
    </row>
    <row r="567" ht="22.5" customHeight="1">
      <c r="A567" s="233"/>
      <c r="B567" s="227"/>
      <c r="C567" s="234"/>
      <c r="D567" s="226"/>
      <c r="E567" s="275"/>
      <c r="F567" s="90"/>
    </row>
    <row r="568" ht="22.5" customHeight="1">
      <c r="A568" s="233"/>
      <c r="B568" s="227"/>
      <c r="C568" s="234"/>
      <c r="D568" s="226"/>
      <c r="E568" s="275"/>
      <c r="F568" s="90"/>
    </row>
    <row r="569" ht="22.5" customHeight="1">
      <c r="A569" s="233"/>
      <c r="B569" s="227"/>
      <c r="C569" s="234"/>
      <c r="D569" s="226"/>
      <c r="E569" s="275"/>
      <c r="F569" s="90"/>
    </row>
    <row r="570" ht="22.5" customHeight="1">
      <c r="A570" s="233"/>
      <c r="B570" s="227"/>
      <c r="C570" s="234"/>
      <c r="D570" s="226"/>
      <c r="E570" s="275"/>
      <c r="F570" s="90"/>
    </row>
    <row r="571" ht="22.5" customHeight="1">
      <c r="A571" s="233"/>
      <c r="B571" s="227"/>
      <c r="C571" s="234"/>
      <c r="D571" s="226"/>
      <c r="E571" s="275"/>
      <c r="F571" s="90"/>
    </row>
    <row r="572" ht="22.5" customHeight="1">
      <c r="A572" s="233"/>
      <c r="B572" s="227"/>
      <c r="C572" s="234"/>
      <c r="D572" s="226"/>
      <c r="E572" s="275"/>
      <c r="F572" s="90"/>
    </row>
    <row r="573" ht="22.5" customHeight="1">
      <c r="A573" s="233"/>
      <c r="B573" s="227"/>
      <c r="C573" s="234"/>
      <c r="D573" s="226"/>
      <c r="E573" s="275"/>
      <c r="F573" s="90"/>
    </row>
    <row r="574" ht="22.5" customHeight="1">
      <c r="A574" s="233"/>
      <c r="B574" s="227"/>
      <c r="C574" s="234"/>
      <c r="D574" s="226"/>
      <c r="E574" s="275"/>
      <c r="F574" s="90"/>
    </row>
    <row r="575" ht="22.5" customHeight="1">
      <c r="A575" s="233"/>
      <c r="B575" s="227"/>
      <c r="C575" s="234"/>
      <c r="D575" s="226"/>
      <c r="E575" s="275"/>
      <c r="F575" s="90"/>
    </row>
    <row r="576" ht="22.5" customHeight="1">
      <c r="A576" s="233"/>
      <c r="B576" s="227"/>
      <c r="C576" s="234"/>
      <c r="D576" s="226"/>
      <c r="E576" s="275"/>
      <c r="F576" s="90"/>
    </row>
    <row r="577" ht="22.5" customHeight="1">
      <c r="A577" s="233"/>
      <c r="B577" s="227"/>
      <c r="C577" s="234"/>
      <c r="D577" s="226"/>
      <c r="E577" s="275"/>
      <c r="F577" s="90"/>
    </row>
    <row r="578" ht="22.5" customHeight="1">
      <c r="A578" s="233"/>
      <c r="B578" s="227"/>
      <c r="C578" s="234"/>
      <c r="D578" s="226"/>
      <c r="E578" s="275"/>
      <c r="F578" s="90"/>
    </row>
    <row r="579" ht="22.5" customHeight="1">
      <c r="A579" s="233"/>
      <c r="B579" s="227"/>
      <c r="C579" s="234"/>
      <c r="D579" s="226"/>
      <c r="E579" s="275"/>
      <c r="F579" s="90"/>
    </row>
    <row r="580" ht="22.5" customHeight="1">
      <c r="A580" s="233"/>
      <c r="B580" s="227"/>
      <c r="C580" s="234"/>
      <c r="D580" s="226"/>
      <c r="E580" s="275"/>
      <c r="F580" s="90"/>
    </row>
    <row r="581" ht="22.5" customHeight="1">
      <c r="A581" s="233"/>
      <c r="B581" s="227"/>
      <c r="C581" s="234"/>
      <c r="D581" s="226"/>
      <c r="E581" s="275"/>
      <c r="F581" s="90"/>
    </row>
    <row r="582" ht="22.5" customHeight="1">
      <c r="A582" s="233"/>
      <c r="B582" s="227"/>
      <c r="C582" s="234"/>
      <c r="D582" s="226"/>
      <c r="E582" s="275"/>
      <c r="F582" s="90"/>
    </row>
    <row r="583" ht="22.5" customHeight="1">
      <c r="A583" s="233"/>
      <c r="B583" s="227"/>
      <c r="C583" s="234"/>
      <c r="D583" s="226"/>
      <c r="E583" s="275"/>
      <c r="F583" s="90"/>
    </row>
    <row r="584" ht="22.5" customHeight="1">
      <c r="A584" s="233"/>
      <c r="B584" s="227"/>
      <c r="C584" s="234"/>
      <c r="D584" s="226"/>
      <c r="E584" s="275"/>
      <c r="F584" s="90"/>
    </row>
    <row r="585" ht="22.5" customHeight="1">
      <c r="A585" s="233"/>
      <c r="B585" s="227"/>
      <c r="C585" s="234"/>
      <c r="D585" s="226"/>
      <c r="E585" s="275"/>
      <c r="F585" s="90"/>
    </row>
    <row r="586" ht="22.5" customHeight="1">
      <c r="A586" s="233"/>
      <c r="B586" s="227"/>
      <c r="C586" s="234"/>
      <c r="D586" s="226"/>
      <c r="E586" s="275"/>
      <c r="F586" s="90"/>
    </row>
    <row r="587" ht="22.5" customHeight="1">
      <c r="A587" s="233"/>
      <c r="B587" s="227"/>
      <c r="C587" s="234"/>
      <c r="D587" s="226"/>
      <c r="E587" s="275"/>
      <c r="F587" s="90"/>
    </row>
    <row r="588" ht="22.5" customHeight="1">
      <c r="A588" s="233"/>
      <c r="B588" s="227"/>
      <c r="C588" s="234"/>
      <c r="D588" s="226"/>
      <c r="E588" s="275"/>
      <c r="F588" s="90"/>
    </row>
    <row r="589" ht="22.5" customHeight="1">
      <c r="A589" s="233"/>
      <c r="B589" s="227"/>
      <c r="C589" s="234"/>
      <c r="D589" s="226"/>
      <c r="E589" s="275"/>
      <c r="F589" s="90"/>
    </row>
    <row r="590" ht="22.5" customHeight="1">
      <c r="A590" s="233"/>
      <c r="B590" s="227"/>
      <c r="C590" s="234"/>
      <c r="D590" s="226"/>
      <c r="E590" s="275"/>
      <c r="F590" s="90"/>
    </row>
    <row r="591" ht="22.5" customHeight="1">
      <c r="A591" s="233"/>
      <c r="B591" s="227"/>
      <c r="C591" s="234"/>
      <c r="D591" s="226"/>
      <c r="E591" s="275"/>
      <c r="F591" s="90"/>
    </row>
    <row r="592" ht="22.5" customHeight="1">
      <c r="A592" s="233"/>
      <c r="B592" s="227"/>
      <c r="C592" s="234"/>
      <c r="D592" s="226"/>
      <c r="E592" s="275"/>
      <c r="F592" s="90"/>
    </row>
    <row r="593" ht="22.5" customHeight="1">
      <c r="A593" s="233"/>
      <c r="B593" s="227"/>
      <c r="C593" s="234"/>
      <c r="D593" s="226"/>
      <c r="E593" s="275"/>
      <c r="F593" s="90"/>
    </row>
    <row r="594" ht="22.5" customHeight="1">
      <c r="A594" s="233"/>
      <c r="B594" s="227"/>
      <c r="C594" s="234"/>
      <c r="D594" s="226"/>
      <c r="E594" s="275"/>
      <c r="F594" s="90"/>
    </row>
    <row r="595" ht="22.5" customHeight="1">
      <c r="A595" s="233"/>
      <c r="B595" s="227"/>
      <c r="C595" s="234"/>
      <c r="D595" s="226"/>
      <c r="E595" s="275"/>
      <c r="F595" s="90"/>
    </row>
    <row r="596" ht="22.5" customHeight="1">
      <c r="A596" s="233"/>
      <c r="B596" s="227"/>
      <c r="C596" s="234"/>
      <c r="D596" s="226"/>
      <c r="E596" s="275"/>
      <c r="F596" s="90"/>
    </row>
    <row r="597" ht="22.5" customHeight="1">
      <c r="A597" s="233"/>
      <c r="B597" s="227"/>
      <c r="C597" s="234"/>
      <c r="D597" s="226"/>
      <c r="E597" s="275"/>
      <c r="F597" s="90"/>
    </row>
    <row r="598" ht="22.5" customHeight="1">
      <c r="A598" s="233"/>
      <c r="B598" s="227"/>
      <c r="C598" s="234"/>
      <c r="D598" s="226"/>
      <c r="E598" s="275"/>
      <c r="F598" s="90"/>
    </row>
    <row r="599" ht="22.5" customHeight="1">
      <c r="A599" s="233"/>
      <c r="B599" s="227"/>
      <c r="C599" s="234"/>
      <c r="D599" s="226"/>
      <c r="E599" s="275"/>
      <c r="F599" s="90"/>
    </row>
    <row r="600" ht="22.5" customHeight="1">
      <c r="A600" s="233"/>
      <c r="B600" s="227"/>
      <c r="C600" s="234"/>
      <c r="D600" s="226"/>
      <c r="E600" s="275"/>
      <c r="F600" s="90"/>
    </row>
    <row r="601" ht="22.5" customHeight="1">
      <c r="A601" s="233"/>
      <c r="B601" s="227"/>
      <c r="C601" s="234"/>
      <c r="D601" s="226"/>
      <c r="E601" s="275"/>
      <c r="F601" s="90"/>
    </row>
    <row r="602" ht="22.5" customHeight="1">
      <c r="A602" s="233"/>
      <c r="B602" s="227"/>
      <c r="C602" s="234"/>
      <c r="D602" s="226"/>
      <c r="E602" s="275"/>
      <c r="F602" s="90"/>
    </row>
    <row r="603" ht="22.5" customHeight="1">
      <c r="A603" s="233"/>
      <c r="B603" s="227"/>
      <c r="C603" s="234"/>
      <c r="D603" s="226"/>
      <c r="E603" s="275"/>
      <c r="F603" s="90"/>
    </row>
    <row r="604" ht="22.5" customHeight="1">
      <c r="A604" s="233"/>
      <c r="B604" s="227"/>
      <c r="C604" s="234"/>
      <c r="D604" s="226"/>
      <c r="E604" s="275"/>
      <c r="F604" s="90"/>
    </row>
    <row r="605" ht="22.5" customHeight="1">
      <c r="A605" s="233"/>
      <c r="B605" s="227"/>
      <c r="C605" s="234"/>
      <c r="D605" s="226"/>
      <c r="E605" s="275"/>
      <c r="F605" s="90"/>
    </row>
    <row r="606" ht="22.5" customHeight="1">
      <c r="A606" s="233"/>
      <c r="B606" s="227"/>
      <c r="C606" s="234"/>
      <c r="D606" s="226"/>
      <c r="E606" s="275"/>
      <c r="F606" s="90"/>
    </row>
    <row r="607" ht="22.5" customHeight="1">
      <c r="A607" s="233"/>
      <c r="B607" s="227"/>
      <c r="C607" s="234"/>
      <c r="D607" s="226"/>
      <c r="E607" s="275"/>
      <c r="F607" s="90"/>
    </row>
    <row r="608" ht="22.5" customHeight="1">
      <c r="A608" s="233"/>
      <c r="B608" s="227"/>
      <c r="C608" s="234"/>
      <c r="D608" s="226"/>
      <c r="E608" s="275"/>
      <c r="F608" s="90"/>
    </row>
    <row r="609" ht="22.5" customHeight="1">
      <c r="A609" s="233"/>
      <c r="B609" s="227"/>
      <c r="C609" s="234"/>
      <c r="D609" s="226"/>
      <c r="E609" s="275"/>
      <c r="F609" s="90"/>
    </row>
    <row r="610" ht="22.5" customHeight="1">
      <c r="A610" s="233"/>
      <c r="B610" s="227"/>
      <c r="C610" s="234"/>
      <c r="D610" s="226"/>
      <c r="E610" s="275"/>
      <c r="F610" s="90"/>
    </row>
    <row r="611" ht="22.5" customHeight="1">
      <c r="A611" s="233"/>
      <c r="B611" s="227"/>
      <c r="C611" s="234"/>
      <c r="D611" s="226"/>
      <c r="E611" s="275"/>
      <c r="F611" s="90"/>
    </row>
    <row r="612" ht="22.5" customHeight="1">
      <c r="A612" s="233"/>
      <c r="B612" s="227"/>
      <c r="C612" s="234"/>
      <c r="D612" s="226"/>
      <c r="E612" s="275"/>
      <c r="F612" s="90"/>
    </row>
    <row r="613" ht="22.5" customHeight="1">
      <c r="A613" s="233"/>
      <c r="B613" s="227"/>
      <c r="C613" s="234"/>
      <c r="D613" s="226"/>
      <c r="E613" s="275"/>
      <c r="F613" s="90"/>
    </row>
    <row r="614" ht="22.5" customHeight="1">
      <c r="A614" s="233"/>
      <c r="B614" s="227"/>
      <c r="C614" s="234"/>
      <c r="D614" s="226"/>
      <c r="E614" s="275"/>
      <c r="F614" s="90"/>
    </row>
    <row r="615" ht="22.5" customHeight="1">
      <c r="A615" s="233"/>
      <c r="B615" s="227"/>
      <c r="C615" s="234"/>
      <c r="D615" s="226"/>
      <c r="E615" s="275"/>
      <c r="F615" s="90"/>
    </row>
    <row r="616" ht="22.5" customHeight="1">
      <c r="A616" s="233"/>
      <c r="B616" s="227"/>
      <c r="C616" s="234"/>
      <c r="D616" s="226"/>
      <c r="E616" s="275"/>
      <c r="F616" s="90"/>
    </row>
    <row r="617" ht="22.5" customHeight="1">
      <c r="A617" s="233"/>
      <c r="B617" s="227"/>
      <c r="C617" s="234"/>
      <c r="D617" s="226"/>
      <c r="E617" s="275"/>
      <c r="F617" s="90"/>
    </row>
    <row r="618" ht="22.5" customHeight="1">
      <c r="A618" s="233"/>
      <c r="B618" s="227"/>
      <c r="C618" s="234"/>
      <c r="D618" s="226"/>
      <c r="E618" s="275"/>
      <c r="F618" s="90"/>
    </row>
    <row r="619" ht="22.5" customHeight="1">
      <c r="A619" s="233"/>
      <c r="B619" s="227"/>
      <c r="C619" s="234"/>
      <c r="D619" s="226"/>
      <c r="E619" s="275"/>
      <c r="F619" s="90"/>
    </row>
    <row r="620" ht="22.5" customHeight="1">
      <c r="A620" s="233"/>
      <c r="B620" s="227"/>
      <c r="C620" s="234"/>
      <c r="D620" s="226"/>
      <c r="E620" s="275"/>
      <c r="F620" s="90"/>
    </row>
    <row r="621" ht="22.5" customHeight="1">
      <c r="A621" s="233"/>
      <c r="B621" s="227"/>
      <c r="C621" s="234"/>
      <c r="D621" s="226"/>
      <c r="E621" s="275"/>
      <c r="F621" s="90"/>
    </row>
    <row r="622" ht="22.5" customHeight="1">
      <c r="A622" s="233"/>
      <c r="B622" s="227"/>
      <c r="C622" s="234"/>
      <c r="D622" s="226"/>
      <c r="E622" s="275"/>
      <c r="F622" s="90"/>
    </row>
    <row r="623" ht="22.5" customHeight="1">
      <c r="A623" s="233"/>
      <c r="B623" s="227"/>
      <c r="C623" s="234"/>
      <c r="D623" s="226"/>
      <c r="E623" s="275"/>
      <c r="F623" s="90"/>
    </row>
    <row r="624" ht="22.5" customHeight="1">
      <c r="A624" s="233"/>
      <c r="B624" s="227"/>
      <c r="C624" s="234"/>
      <c r="D624" s="226"/>
      <c r="E624" s="275"/>
      <c r="F624" s="90"/>
    </row>
    <row r="625" ht="22.5" customHeight="1">
      <c r="A625" s="233"/>
      <c r="B625" s="227"/>
      <c r="C625" s="234"/>
      <c r="D625" s="226"/>
      <c r="E625" s="275"/>
      <c r="F625" s="90"/>
    </row>
    <row r="626" ht="22.5" customHeight="1">
      <c r="A626" s="233"/>
      <c r="B626" s="227"/>
      <c r="C626" s="234"/>
      <c r="D626" s="226"/>
      <c r="E626" s="275"/>
      <c r="F626" s="90"/>
    </row>
    <row r="627" ht="22.5" customHeight="1">
      <c r="A627" s="233"/>
      <c r="B627" s="227"/>
      <c r="C627" s="234"/>
      <c r="D627" s="226"/>
      <c r="E627" s="275"/>
      <c r="F627" s="90"/>
    </row>
    <row r="628" ht="22.5" customHeight="1">
      <c r="A628" s="233"/>
      <c r="B628" s="227"/>
      <c r="C628" s="234"/>
      <c r="D628" s="226"/>
      <c r="E628" s="275"/>
      <c r="F628" s="90"/>
    </row>
    <row r="629" ht="22.5" customHeight="1">
      <c r="A629" s="233"/>
      <c r="B629" s="227"/>
      <c r="C629" s="234"/>
      <c r="D629" s="226"/>
      <c r="E629" s="275"/>
      <c r="F629" s="90"/>
    </row>
    <row r="630" ht="22.5" customHeight="1">
      <c r="A630" s="233"/>
      <c r="B630" s="227"/>
      <c r="C630" s="234"/>
      <c r="D630" s="226"/>
      <c r="E630" s="275"/>
      <c r="F630" s="90"/>
    </row>
    <row r="631" ht="22.5" customHeight="1">
      <c r="A631" s="233"/>
      <c r="B631" s="227"/>
      <c r="C631" s="234"/>
      <c r="D631" s="226"/>
      <c r="E631" s="275"/>
      <c r="F631" s="90"/>
    </row>
    <row r="632" ht="22.5" customHeight="1">
      <c r="A632" s="233"/>
      <c r="B632" s="227"/>
      <c r="C632" s="234"/>
      <c r="D632" s="226"/>
      <c r="E632" s="275"/>
      <c r="F632" s="90"/>
    </row>
    <row r="633" ht="22.5" customHeight="1">
      <c r="A633" s="233"/>
      <c r="B633" s="227"/>
      <c r="C633" s="234"/>
      <c r="D633" s="226"/>
      <c r="E633" s="275"/>
      <c r="F633" s="90"/>
    </row>
    <row r="634" ht="22.5" customHeight="1">
      <c r="A634" s="233"/>
      <c r="B634" s="227"/>
      <c r="C634" s="234"/>
      <c r="D634" s="226"/>
      <c r="E634" s="275"/>
      <c r="F634" s="90"/>
    </row>
    <row r="635" ht="22.5" customHeight="1">
      <c r="A635" s="233"/>
      <c r="B635" s="227"/>
      <c r="C635" s="234"/>
      <c r="D635" s="226"/>
      <c r="E635" s="275"/>
      <c r="F635" s="90"/>
    </row>
    <row r="636" ht="22.5" customHeight="1">
      <c r="A636" s="233"/>
      <c r="B636" s="227"/>
      <c r="C636" s="234"/>
      <c r="D636" s="226"/>
      <c r="E636" s="275"/>
      <c r="F636" s="90"/>
    </row>
    <row r="637" ht="22.5" customHeight="1">
      <c r="A637" s="233"/>
      <c r="B637" s="227"/>
      <c r="C637" s="234"/>
      <c r="D637" s="226"/>
      <c r="E637" s="275"/>
      <c r="F637" s="90"/>
    </row>
    <row r="638" ht="22.5" customHeight="1">
      <c r="A638" s="233"/>
      <c r="B638" s="227"/>
      <c r="C638" s="234"/>
      <c r="D638" s="226"/>
      <c r="E638" s="275"/>
      <c r="F638" s="90"/>
    </row>
    <row r="639" ht="22.5" customHeight="1">
      <c r="A639" s="233"/>
      <c r="B639" s="227"/>
      <c r="C639" s="234"/>
      <c r="D639" s="226"/>
      <c r="E639" s="275"/>
      <c r="F639" s="90"/>
    </row>
    <row r="640" ht="22.5" customHeight="1">
      <c r="A640" s="233"/>
      <c r="B640" s="227"/>
      <c r="C640" s="234"/>
      <c r="D640" s="226"/>
      <c r="E640" s="275"/>
      <c r="F640" s="90"/>
    </row>
    <row r="641" ht="22.5" customHeight="1">
      <c r="A641" s="233"/>
      <c r="B641" s="227"/>
      <c r="C641" s="234"/>
      <c r="D641" s="226"/>
      <c r="E641" s="275"/>
      <c r="F641" s="90"/>
    </row>
    <row r="642" ht="22.5" customHeight="1">
      <c r="A642" s="233"/>
      <c r="B642" s="227"/>
      <c r="C642" s="234"/>
      <c r="D642" s="226"/>
      <c r="E642" s="275"/>
      <c r="F642" s="90"/>
    </row>
    <row r="643" ht="22.5" customHeight="1">
      <c r="A643" s="233"/>
      <c r="B643" s="227"/>
      <c r="C643" s="234"/>
      <c r="D643" s="226"/>
      <c r="E643" s="275"/>
      <c r="F643" s="90"/>
    </row>
    <row r="644" ht="22.5" customHeight="1">
      <c r="A644" s="233"/>
      <c r="B644" s="227"/>
      <c r="C644" s="234"/>
      <c r="D644" s="226"/>
      <c r="E644" s="275"/>
      <c r="F644" s="90"/>
    </row>
    <row r="645" ht="22.5" customHeight="1">
      <c r="A645" s="233"/>
      <c r="B645" s="227"/>
      <c r="C645" s="234"/>
      <c r="D645" s="226"/>
      <c r="E645" s="275"/>
      <c r="F645" s="90"/>
    </row>
    <row r="646" ht="22.5" customHeight="1">
      <c r="A646" s="233"/>
      <c r="B646" s="227"/>
      <c r="C646" s="234"/>
      <c r="D646" s="226"/>
      <c r="E646" s="275"/>
      <c r="F646" s="90"/>
    </row>
    <row r="647" ht="22.5" customHeight="1">
      <c r="A647" s="233"/>
      <c r="B647" s="227"/>
      <c r="C647" s="234"/>
      <c r="D647" s="226"/>
      <c r="E647" s="275"/>
      <c r="F647" s="90"/>
    </row>
    <row r="648" ht="22.5" customHeight="1">
      <c r="A648" s="233"/>
      <c r="B648" s="227"/>
      <c r="C648" s="234"/>
      <c r="D648" s="226"/>
      <c r="E648" s="275"/>
      <c r="F648" s="90"/>
    </row>
    <row r="649" ht="22.5" customHeight="1">
      <c r="A649" s="233"/>
      <c r="B649" s="227"/>
      <c r="C649" s="234"/>
      <c r="D649" s="226"/>
      <c r="E649" s="275"/>
      <c r="F649" s="90"/>
    </row>
    <row r="650" ht="22.5" customHeight="1">
      <c r="A650" s="233"/>
      <c r="B650" s="227"/>
      <c r="C650" s="234"/>
      <c r="D650" s="226"/>
      <c r="E650" s="275"/>
      <c r="F650" s="90"/>
    </row>
    <row r="651" ht="22.5" customHeight="1">
      <c r="A651" s="233"/>
      <c r="B651" s="227"/>
      <c r="C651" s="234"/>
      <c r="D651" s="226"/>
      <c r="E651" s="275"/>
      <c r="F651" s="90"/>
    </row>
    <row r="652" ht="22.5" customHeight="1">
      <c r="A652" s="233"/>
      <c r="B652" s="227"/>
      <c r="C652" s="234"/>
      <c r="D652" s="226"/>
      <c r="E652" s="275"/>
      <c r="F652" s="90"/>
    </row>
    <row r="653" ht="22.5" customHeight="1">
      <c r="A653" s="233"/>
      <c r="B653" s="227"/>
      <c r="C653" s="234"/>
      <c r="D653" s="226"/>
      <c r="E653" s="275"/>
      <c r="F653" s="90"/>
    </row>
    <row r="654" ht="22.5" customHeight="1">
      <c r="A654" s="233"/>
      <c r="B654" s="227"/>
      <c r="C654" s="234"/>
      <c r="D654" s="226"/>
      <c r="E654" s="275"/>
      <c r="F654" s="90"/>
    </row>
    <row r="655" ht="22.5" customHeight="1">
      <c r="A655" s="233"/>
      <c r="B655" s="227"/>
      <c r="C655" s="234"/>
      <c r="D655" s="226"/>
      <c r="E655" s="275"/>
      <c r="F655" s="90"/>
    </row>
    <row r="656" ht="22.5" customHeight="1">
      <c r="A656" s="233"/>
      <c r="B656" s="227"/>
      <c r="C656" s="234"/>
      <c r="D656" s="226"/>
      <c r="E656" s="275"/>
      <c r="F656" s="90"/>
    </row>
    <row r="657" ht="22.5" customHeight="1">
      <c r="A657" s="233"/>
      <c r="B657" s="227"/>
      <c r="C657" s="234"/>
      <c r="D657" s="226"/>
      <c r="E657" s="275"/>
      <c r="F657" s="90"/>
    </row>
    <row r="658" ht="22.5" customHeight="1">
      <c r="A658" s="233"/>
      <c r="B658" s="227"/>
      <c r="C658" s="234"/>
      <c r="D658" s="226"/>
      <c r="E658" s="275"/>
      <c r="F658" s="90"/>
    </row>
    <row r="659" ht="22.5" customHeight="1">
      <c r="A659" s="233"/>
      <c r="B659" s="227"/>
      <c r="C659" s="234"/>
      <c r="D659" s="226"/>
      <c r="E659" s="275"/>
      <c r="F659" s="90"/>
    </row>
    <row r="660" ht="22.5" customHeight="1">
      <c r="A660" s="233"/>
      <c r="B660" s="227"/>
      <c r="C660" s="234"/>
      <c r="D660" s="226"/>
      <c r="E660" s="275"/>
      <c r="F660" s="90"/>
    </row>
    <row r="661" ht="22.5" customHeight="1">
      <c r="A661" s="233"/>
      <c r="B661" s="227"/>
      <c r="C661" s="234"/>
      <c r="D661" s="226"/>
      <c r="E661" s="275"/>
      <c r="F661" s="90"/>
    </row>
    <row r="662" ht="22.5" customHeight="1">
      <c r="A662" s="233"/>
      <c r="B662" s="227"/>
      <c r="C662" s="234"/>
      <c r="D662" s="226"/>
      <c r="E662" s="275"/>
      <c r="F662" s="90"/>
    </row>
    <row r="663" ht="22.5" customHeight="1">
      <c r="A663" s="233"/>
      <c r="B663" s="227"/>
      <c r="C663" s="234"/>
      <c r="D663" s="226"/>
      <c r="E663" s="275"/>
      <c r="F663" s="90"/>
    </row>
    <row r="664" ht="22.5" customHeight="1">
      <c r="A664" s="233"/>
      <c r="B664" s="227"/>
      <c r="C664" s="234"/>
      <c r="D664" s="226"/>
      <c r="E664" s="275"/>
      <c r="F664" s="90"/>
    </row>
    <row r="665" ht="22.5" customHeight="1">
      <c r="A665" s="233"/>
      <c r="B665" s="227"/>
      <c r="C665" s="234"/>
      <c r="D665" s="226"/>
      <c r="E665" s="275"/>
      <c r="F665" s="90"/>
    </row>
    <row r="666" ht="22.5" customHeight="1">
      <c r="A666" s="233"/>
      <c r="B666" s="227"/>
      <c r="C666" s="234"/>
      <c r="D666" s="226"/>
      <c r="E666" s="275"/>
      <c r="F666" s="90"/>
    </row>
    <row r="667" ht="22.5" customHeight="1">
      <c r="A667" s="233"/>
      <c r="B667" s="227"/>
      <c r="C667" s="234"/>
      <c r="D667" s="226"/>
      <c r="E667" s="275"/>
      <c r="F667" s="90"/>
    </row>
    <row r="668" ht="22.5" customHeight="1">
      <c r="A668" s="233"/>
      <c r="B668" s="227"/>
      <c r="C668" s="234"/>
      <c r="D668" s="226"/>
      <c r="E668" s="275"/>
      <c r="F668" s="90"/>
    </row>
    <row r="669" ht="22.5" customHeight="1">
      <c r="A669" s="233"/>
      <c r="B669" s="227"/>
      <c r="C669" s="234"/>
      <c r="D669" s="226"/>
      <c r="E669" s="275"/>
      <c r="F669" s="90"/>
    </row>
    <row r="670" ht="22.5" customHeight="1">
      <c r="A670" s="233"/>
      <c r="B670" s="227"/>
      <c r="C670" s="234"/>
      <c r="D670" s="226"/>
      <c r="E670" s="275"/>
      <c r="F670" s="90"/>
    </row>
    <row r="671" ht="22.5" customHeight="1">
      <c r="A671" s="233"/>
      <c r="B671" s="227"/>
      <c r="C671" s="234"/>
      <c r="D671" s="226"/>
      <c r="E671" s="275"/>
      <c r="F671" s="90"/>
    </row>
    <row r="672" ht="22.5" customHeight="1">
      <c r="A672" s="233"/>
      <c r="B672" s="227"/>
      <c r="C672" s="234"/>
      <c r="D672" s="226"/>
      <c r="E672" s="275"/>
      <c r="F672" s="90"/>
    </row>
    <row r="673" ht="22.5" customHeight="1">
      <c r="A673" s="233"/>
      <c r="B673" s="227"/>
      <c r="C673" s="234"/>
      <c r="D673" s="226"/>
      <c r="E673" s="275"/>
      <c r="F673" s="90"/>
    </row>
    <row r="674" ht="22.5" customHeight="1">
      <c r="A674" s="233"/>
      <c r="B674" s="227"/>
      <c r="C674" s="234"/>
      <c r="D674" s="226"/>
      <c r="E674" s="275"/>
      <c r="F674" s="90"/>
    </row>
    <row r="675" ht="22.5" customHeight="1">
      <c r="A675" s="233"/>
      <c r="B675" s="227"/>
      <c r="C675" s="234"/>
      <c r="D675" s="226"/>
      <c r="E675" s="275"/>
      <c r="F675" s="90"/>
    </row>
    <row r="676" ht="22.5" customHeight="1">
      <c r="A676" s="233"/>
      <c r="B676" s="227"/>
      <c r="C676" s="234"/>
      <c r="D676" s="226"/>
      <c r="E676" s="275"/>
      <c r="F676" s="90"/>
    </row>
    <row r="677" ht="22.5" customHeight="1">
      <c r="A677" s="233"/>
      <c r="B677" s="227"/>
      <c r="C677" s="234"/>
      <c r="D677" s="226"/>
      <c r="E677" s="275"/>
      <c r="F677" s="90"/>
    </row>
    <row r="678" ht="22.5" customHeight="1">
      <c r="A678" s="233"/>
      <c r="B678" s="227"/>
      <c r="C678" s="234"/>
      <c r="D678" s="226"/>
      <c r="E678" s="275"/>
      <c r="F678" s="90"/>
    </row>
    <row r="679" ht="22.5" customHeight="1">
      <c r="A679" s="233"/>
      <c r="B679" s="227"/>
      <c r="C679" s="234"/>
      <c r="D679" s="226"/>
      <c r="E679" s="275"/>
      <c r="F679" s="90"/>
    </row>
    <row r="680" ht="22.5" customHeight="1">
      <c r="A680" s="233"/>
      <c r="B680" s="227"/>
      <c r="C680" s="234"/>
      <c r="D680" s="226"/>
      <c r="E680" s="275"/>
      <c r="F680" s="90"/>
    </row>
    <row r="681" ht="22.5" customHeight="1">
      <c r="A681" s="233"/>
      <c r="B681" s="227"/>
      <c r="C681" s="234"/>
      <c r="D681" s="226"/>
      <c r="E681" s="275"/>
      <c r="F681" s="90"/>
    </row>
    <row r="682" ht="22.5" customHeight="1">
      <c r="A682" s="233"/>
      <c r="B682" s="227"/>
      <c r="C682" s="234"/>
      <c r="D682" s="226"/>
      <c r="E682" s="275"/>
      <c r="F682" s="90"/>
    </row>
    <row r="683" ht="22.5" customHeight="1">
      <c r="A683" s="233"/>
      <c r="B683" s="227"/>
      <c r="C683" s="234"/>
      <c r="D683" s="226"/>
      <c r="E683" s="275"/>
      <c r="F683" s="90"/>
    </row>
    <row r="684" ht="22.5" customHeight="1">
      <c r="A684" s="233"/>
      <c r="B684" s="227"/>
      <c r="C684" s="234"/>
      <c r="D684" s="226"/>
      <c r="E684" s="275"/>
      <c r="F684" s="90"/>
    </row>
    <row r="685" ht="22.5" customHeight="1">
      <c r="A685" s="233"/>
      <c r="B685" s="227"/>
      <c r="C685" s="234"/>
      <c r="D685" s="226"/>
      <c r="E685" s="275"/>
      <c r="F685" s="90"/>
    </row>
    <row r="686" ht="22.5" customHeight="1">
      <c r="A686" s="233"/>
      <c r="B686" s="227"/>
      <c r="C686" s="234"/>
      <c r="D686" s="226"/>
      <c r="E686" s="275"/>
      <c r="F686" s="90"/>
    </row>
    <row r="687" ht="22.5" customHeight="1">
      <c r="A687" s="233"/>
      <c r="B687" s="227"/>
      <c r="C687" s="234"/>
      <c r="D687" s="226"/>
      <c r="E687" s="275"/>
      <c r="F687" s="90"/>
    </row>
    <row r="688" ht="22.5" customHeight="1">
      <c r="A688" s="233"/>
      <c r="B688" s="227"/>
      <c r="C688" s="234"/>
      <c r="D688" s="226"/>
      <c r="E688" s="275"/>
      <c r="F688" s="90"/>
    </row>
    <row r="689" ht="22.5" customHeight="1">
      <c r="A689" s="233"/>
      <c r="B689" s="227"/>
      <c r="C689" s="234"/>
      <c r="D689" s="226"/>
      <c r="E689" s="275"/>
      <c r="F689" s="90"/>
    </row>
    <row r="690" ht="22.5" customHeight="1">
      <c r="A690" s="233"/>
      <c r="B690" s="227"/>
      <c r="C690" s="234"/>
      <c r="D690" s="226"/>
      <c r="E690" s="275"/>
      <c r="F690" s="90"/>
    </row>
    <row r="691" ht="22.5" customHeight="1">
      <c r="A691" s="233"/>
      <c r="B691" s="227"/>
      <c r="C691" s="234"/>
      <c r="D691" s="226"/>
      <c r="E691" s="275"/>
      <c r="F691" s="90"/>
    </row>
    <row r="692" ht="22.5" customHeight="1">
      <c r="A692" s="233"/>
      <c r="B692" s="227"/>
      <c r="C692" s="234"/>
      <c r="D692" s="226"/>
      <c r="E692" s="275"/>
      <c r="F692" s="90"/>
    </row>
    <row r="693" ht="22.5" customHeight="1">
      <c r="A693" s="233"/>
      <c r="B693" s="227"/>
      <c r="C693" s="234"/>
      <c r="D693" s="226"/>
      <c r="E693" s="275"/>
      <c r="F693" s="90"/>
    </row>
    <row r="694" ht="22.5" customHeight="1">
      <c r="A694" s="233"/>
      <c r="B694" s="227"/>
      <c r="C694" s="234"/>
      <c r="D694" s="226"/>
      <c r="E694" s="275"/>
      <c r="F694" s="90"/>
    </row>
    <row r="695" ht="22.5" customHeight="1">
      <c r="A695" s="233"/>
      <c r="B695" s="227"/>
      <c r="C695" s="234"/>
      <c r="D695" s="226"/>
      <c r="E695" s="275"/>
      <c r="F695" s="90"/>
    </row>
    <row r="696" ht="22.5" customHeight="1">
      <c r="A696" s="233"/>
      <c r="B696" s="227"/>
      <c r="C696" s="234"/>
      <c r="D696" s="226"/>
      <c r="E696" s="275"/>
      <c r="F696" s="90"/>
    </row>
    <row r="697" ht="22.5" customHeight="1">
      <c r="A697" s="233"/>
      <c r="B697" s="227"/>
      <c r="C697" s="234"/>
      <c r="D697" s="226"/>
      <c r="E697" s="275"/>
      <c r="F697" s="90"/>
    </row>
    <row r="698" ht="22.5" customHeight="1">
      <c r="A698" s="233"/>
      <c r="B698" s="227"/>
      <c r="C698" s="234"/>
      <c r="D698" s="226"/>
      <c r="E698" s="275"/>
      <c r="F698" s="90"/>
    </row>
    <row r="699" ht="22.5" customHeight="1">
      <c r="A699" s="233"/>
      <c r="B699" s="227"/>
      <c r="C699" s="234"/>
      <c r="D699" s="226"/>
      <c r="E699" s="275"/>
      <c r="F699" s="90"/>
    </row>
    <row r="700" ht="22.5" customHeight="1">
      <c r="A700" s="233"/>
      <c r="B700" s="227"/>
      <c r="C700" s="234"/>
      <c r="D700" s="226"/>
      <c r="E700" s="275"/>
      <c r="F700" s="90"/>
    </row>
    <row r="701" ht="22.5" customHeight="1">
      <c r="A701" s="233"/>
      <c r="B701" s="227"/>
      <c r="C701" s="234"/>
      <c r="D701" s="226"/>
      <c r="E701" s="275"/>
      <c r="F701" s="90"/>
    </row>
    <row r="702" ht="22.5" customHeight="1">
      <c r="A702" s="233"/>
      <c r="B702" s="227"/>
      <c r="C702" s="234"/>
      <c r="D702" s="226"/>
      <c r="E702" s="275"/>
      <c r="F702" s="90"/>
    </row>
    <row r="703" ht="22.5" customHeight="1">
      <c r="A703" s="233"/>
      <c r="B703" s="227"/>
      <c r="C703" s="234"/>
      <c r="D703" s="226"/>
      <c r="E703" s="275"/>
      <c r="F703" s="90"/>
    </row>
    <row r="704" ht="22.5" customHeight="1">
      <c r="A704" s="233"/>
      <c r="B704" s="227"/>
      <c r="C704" s="234"/>
      <c r="D704" s="226"/>
      <c r="E704" s="275"/>
      <c r="F704" s="90"/>
    </row>
    <row r="705" ht="22.5" customHeight="1">
      <c r="A705" s="233"/>
      <c r="B705" s="227"/>
      <c r="C705" s="234"/>
      <c r="D705" s="226"/>
      <c r="E705" s="275"/>
      <c r="F705" s="90"/>
    </row>
    <row r="706" ht="22.5" customHeight="1">
      <c r="A706" s="233"/>
      <c r="B706" s="227"/>
      <c r="C706" s="234"/>
      <c r="D706" s="226"/>
      <c r="E706" s="275"/>
      <c r="F706" s="90"/>
    </row>
    <row r="707" ht="22.5" customHeight="1">
      <c r="A707" s="233"/>
      <c r="B707" s="227"/>
      <c r="C707" s="234"/>
      <c r="D707" s="226"/>
      <c r="E707" s="275"/>
      <c r="F707" s="90"/>
    </row>
    <row r="708" ht="22.5" customHeight="1">
      <c r="A708" s="233"/>
      <c r="B708" s="227"/>
      <c r="C708" s="234"/>
      <c r="D708" s="226"/>
      <c r="E708" s="275"/>
      <c r="F708" s="90"/>
    </row>
    <row r="709" ht="22.5" customHeight="1">
      <c r="A709" s="233"/>
      <c r="B709" s="227"/>
      <c r="C709" s="234"/>
      <c r="D709" s="226"/>
      <c r="E709" s="275"/>
      <c r="F709" s="90"/>
    </row>
    <row r="710" ht="22.5" customHeight="1">
      <c r="A710" s="233"/>
      <c r="B710" s="227"/>
      <c r="C710" s="234"/>
      <c r="D710" s="226"/>
      <c r="E710" s="275"/>
      <c r="F710" s="90"/>
    </row>
    <row r="711" ht="22.5" customHeight="1">
      <c r="A711" s="233"/>
      <c r="B711" s="227"/>
      <c r="C711" s="234"/>
      <c r="D711" s="226"/>
      <c r="E711" s="275"/>
      <c r="F711" s="90"/>
    </row>
    <row r="712" ht="22.5" customHeight="1">
      <c r="A712" s="233"/>
      <c r="B712" s="227"/>
      <c r="C712" s="234"/>
      <c r="D712" s="226"/>
      <c r="E712" s="275"/>
      <c r="F712" s="90"/>
    </row>
    <row r="713" ht="22.5" customHeight="1">
      <c r="A713" s="233"/>
      <c r="B713" s="227"/>
      <c r="C713" s="234"/>
      <c r="D713" s="226"/>
      <c r="E713" s="275"/>
      <c r="F713" s="90"/>
    </row>
    <row r="714" ht="22.5" customHeight="1">
      <c r="A714" s="233"/>
      <c r="B714" s="227"/>
      <c r="C714" s="234"/>
      <c r="D714" s="226"/>
      <c r="E714" s="275"/>
      <c r="F714" s="90"/>
    </row>
    <row r="715" ht="22.5" customHeight="1">
      <c r="A715" s="233"/>
      <c r="B715" s="227"/>
      <c r="C715" s="234"/>
      <c r="D715" s="226"/>
      <c r="E715" s="275"/>
      <c r="F715" s="90"/>
    </row>
    <row r="716" ht="22.5" customHeight="1">
      <c r="A716" s="233"/>
      <c r="B716" s="227"/>
      <c r="C716" s="234"/>
      <c r="D716" s="226"/>
      <c r="E716" s="275"/>
      <c r="F716" s="90"/>
    </row>
    <row r="717" ht="22.5" customHeight="1">
      <c r="A717" s="233"/>
      <c r="B717" s="227"/>
      <c r="C717" s="234"/>
      <c r="D717" s="226"/>
      <c r="E717" s="275"/>
      <c r="F717" s="90"/>
    </row>
    <row r="718" ht="22.5" customHeight="1">
      <c r="A718" s="233"/>
      <c r="B718" s="227"/>
      <c r="C718" s="234"/>
      <c r="D718" s="226"/>
      <c r="E718" s="275"/>
      <c r="F718" s="90"/>
    </row>
    <row r="719" ht="22.5" customHeight="1">
      <c r="A719" s="233"/>
      <c r="B719" s="227"/>
      <c r="C719" s="234"/>
      <c r="D719" s="226"/>
      <c r="E719" s="275"/>
      <c r="F719" s="90"/>
    </row>
    <row r="720" ht="22.5" customHeight="1">
      <c r="A720" s="233"/>
      <c r="B720" s="227"/>
      <c r="C720" s="234"/>
      <c r="D720" s="226"/>
      <c r="E720" s="275"/>
      <c r="F720" s="90"/>
    </row>
    <row r="721" ht="22.5" customHeight="1">
      <c r="A721" s="233"/>
      <c r="B721" s="227"/>
      <c r="C721" s="234"/>
      <c r="D721" s="226"/>
      <c r="E721" s="275"/>
      <c r="F721" s="90"/>
    </row>
    <row r="722" ht="22.5" customHeight="1">
      <c r="A722" s="233"/>
      <c r="B722" s="227"/>
      <c r="C722" s="234"/>
      <c r="D722" s="226"/>
      <c r="E722" s="275"/>
      <c r="F722" s="90"/>
    </row>
    <row r="723" ht="22.5" customHeight="1">
      <c r="A723" s="233"/>
      <c r="B723" s="227"/>
      <c r="C723" s="234"/>
      <c r="D723" s="226"/>
      <c r="E723" s="275"/>
      <c r="F723" s="90"/>
    </row>
    <row r="724" ht="22.5" customHeight="1">
      <c r="A724" s="233"/>
      <c r="B724" s="227"/>
      <c r="C724" s="234"/>
      <c r="D724" s="226"/>
      <c r="E724" s="275"/>
      <c r="F724" s="90"/>
    </row>
    <row r="725" ht="22.5" customHeight="1">
      <c r="A725" s="233"/>
      <c r="B725" s="227"/>
      <c r="C725" s="234"/>
      <c r="D725" s="226"/>
      <c r="E725" s="275"/>
      <c r="F725" s="90"/>
    </row>
    <row r="726" ht="22.5" customHeight="1">
      <c r="A726" s="233"/>
      <c r="B726" s="227"/>
      <c r="C726" s="234"/>
      <c r="D726" s="226"/>
      <c r="E726" s="275"/>
      <c r="F726" s="90"/>
    </row>
    <row r="727" ht="22.5" customHeight="1">
      <c r="A727" s="233"/>
      <c r="B727" s="227"/>
      <c r="C727" s="234"/>
      <c r="D727" s="226"/>
      <c r="E727" s="275"/>
      <c r="F727" s="90"/>
    </row>
    <row r="728" ht="22.5" customHeight="1">
      <c r="A728" s="233"/>
      <c r="B728" s="227"/>
      <c r="C728" s="234"/>
      <c r="D728" s="226"/>
      <c r="E728" s="275"/>
      <c r="F728" s="90"/>
    </row>
    <row r="729" ht="22.5" customHeight="1">
      <c r="A729" s="233"/>
      <c r="B729" s="227"/>
      <c r="C729" s="234"/>
      <c r="D729" s="226"/>
      <c r="E729" s="275"/>
      <c r="F729" s="90"/>
    </row>
    <row r="730" ht="22.5" customHeight="1">
      <c r="A730" s="233"/>
      <c r="B730" s="227"/>
      <c r="C730" s="234"/>
      <c r="D730" s="226"/>
      <c r="E730" s="275"/>
      <c r="F730" s="90"/>
    </row>
    <row r="731" ht="22.5" customHeight="1">
      <c r="A731" s="233"/>
      <c r="B731" s="227"/>
      <c r="C731" s="234"/>
      <c r="D731" s="226"/>
      <c r="E731" s="275"/>
      <c r="F731" s="90"/>
    </row>
    <row r="732" ht="22.5" customHeight="1">
      <c r="A732" s="233"/>
      <c r="B732" s="227"/>
      <c r="C732" s="234"/>
      <c r="D732" s="226"/>
      <c r="E732" s="275"/>
      <c r="F732" s="90"/>
    </row>
    <row r="733" ht="22.5" customHeight="1">
      <c r="A733" s="233"/>
      <c r="B733" s="227"/>
      <c r="C733" s="234"/>
      <c r="D733" s="226"/>
      <c r="E733" s="275"/>
      <c r="F733" s="90"/>
    </row>
    <row r="734" ht="22.5" customHeight="1">
      <c r="A734" s="233"/>
      <c r="B734" s="227"/>
      <c r="C734" s="234"/>
      <c r="D734" s="226"/>
      <c r="E734" s="275"/>
      <c r="F734" s="90"/>
    </row>
    <row r="735" ht="22.5" customHeight="1">
      <c r="A735" s="233"/>
      <c r="B735" s="227"/>
      <c r="C735" s="234"/>
      <c r="D735" s="226"/>
      <c r="E735" s="275"/>
      <c r="F735" s="90"/>
    </row>
    <row r="736" ht="22.5" customHeight="1">
      <c r="A736" s="233"/>
      <c r="B736" s="227"/>
      <c r="C736" s="234"/>
      <c r="D736" s="226"/>
      <c r="E736" s="275"/>
      <c r="F736" s="90"/>
    </row>
    <row r="737" ht="22.5" customHeight="1">
      <c r="A737" s="233"/>
      <c r="B737" s="227"/>
      <c r="C737" s="234"/>
      <c r="D737" s="226"/>
      <c r="E737" s="275"/>
      <c r="F737" s="90"/>
    </row>
    <row r="738" ht="22.5" customHeight="1">
      <c r="A738" s="233"/>
      <c r="B738" s="227"/>
      <c r="C738" s="234"/>
      <c r="D738" s="226"/>
      <c r="E738" s="275"/>
      <c r="F738" s="90"/>
    </row>
    <row r="739" ht="22.5" customHeight="1">
      <c r="A739" s="233"/>
      <c r="B739" s="227"/>
      <c r="C739" s="234"/>
      <c r="D739" s="226"/>
      <c r="E739" s="275"/>
      <c r="F739" s="90"/>
    </row>
    <row r="740" ht="22.5" customHeight="1">
      <c r="A740" s="233"/>
      <c r="B740" s="227"/>
      <c r="C740" s="234"/>
      <c r="D740" s="226"/>
      <c r="E740" s="275"/>
      <c r="F740" s="90"/>
    </row>
    <row r="741" ht="22.5" customHeight="1">
      <c r="A741" s="233"/>
      <c r="B741" s="227"/>
      <c r="C741" s="234"/>
      <c r="D741" s="226"/>
      <c r="E741" s="275"/>
      <c r="F741" s="90"/>
    </row>
    <row r="742" ht="22.5" customHeight="1">
      <c r="A742" s="233"/>
      <c r="B742" s="227"/>
      <c r="C742" s="234"/>
      <c r="D742" s="226"/>
      <c r="E742" s="275"/>
      <c r="F742" s="90"/>
    </row>
    <row r="743" ht="22.5" customHeight="1">
      <c r="A743" s="233"/>
      <c r="B743" s="227"/>
      <c r="C743" s="234"/>
      <c r="D743" s="226"/>
      <c r="E743" s="275"/>
      <c r="F743" s="90"/>
    </row>
    <row r="744" ht="22.5" customHeight="1">
      <c r="A744" s="233"/>
      <c r="B744" s="227"/>
      <c r="C744" s="234"/>
      <c r="D744" s="226"/>
      <c r="E744" s="275"/>
      <c r="F744" s="90"/>
    </row>
    <row r="745" ht="22.5" customHeight="1">
      <c r="A745" s="233"/>
      <c r="B745" s="227"/>
      <c r="C745" s="234"/>
      <c r="D745" s="226"/>
      <c r="E745" s="275"/>
      <c r="F745" s="90"/>
    </row>
    <row r="746" ht="22.5" customHeight="1">
      <c r="A746" s="233"/>
      <c r="B746" s="227"/>
      <c r="C746" s="234"/>
      <c r="D746" s="226"/>
      <c r="E746" s="275"/>
      <c r="F746" s="90"/>
    </row>
    <row r="747" ht="22.5" customHeight="1">
      <c r="A747" s="233"/>
      <c r="B747" s="227"/>
      <c r="C747" s="234"/>
      <c r="D747" s="226"/>
      <c r="E747" s="275"/>
      <c r="F747" s="90"/>
    </row>
    <row r="748" ht="22.5" customHeight="1">
      <c r="A748" s="233"/>
      <c r="B748" s="227"/>
      <c r="C748" s="234"/>
      <c r="D748" s="226"/>
      <c r="E748" s="275"/>
      <c r="F748" s="90"/>
    </row>
    <row r="749" ht="22.5" customHeight="1">
      <c r="A749" s="233"/>
      <c r="B749" s="227"/>
      <c r="C749" s="234"/>
      <c r="D749" s="226"/>
      <c r="E749" s="275"/>
      <c r="F749" s="90"/>
    </row>
    <row r="750" ht="22.5" customHeight="1">
      <c r="A750" s="233"/>
      <c r="B750" s="227"/>
      <c r="C750" s="234"/>
      <c r="D750" s="226"/>
      <c r="E750" s="275"/>
      <c r="F750" s="90"/>
    </row>
    <row r="751" ht="22.5" customHeight="1">
      <c r="A751" s="233"/>
      <c r="B751" s="227"/>
      <c r="C751" s="234"/>
      <c r="D751" s="226"/>
      <c r="E751" s="275"/>
      <c r="F751" s="90"/>
    </row>
    <row r="752" ht="22.5" customHeight="1">
      <c r="A752" s="233"/>
      <c r="B752" s="227"/>
      <c r="C752" s="234"/>
      <c r="D752" s="226"/>
      <c r="E752" s="275"/>
      <c r="F752" s="90"/>
    </row>
    <row r="753" ht="22.5" customHeight="1">
      <c r="A753" s="233"/>
      <c r="B753" s="227"/>
      <c r="C753" s="234"/>
      <c r="D753" s="226"/>
      <c r="E753" s="275"/>
      <c r="F753" s="90"/>
    </row>
    <row r="754" ht="22.5" customHeight="1">
      <c r="A754" s="233"/>
      <c r="B754" s="227"/>
      <c r="C754" s="234"/>
      <c r="D754" s="226"/>
      <c r="E754" s="275"/>
      <c r="F754" s="90"/>
    </row>
    <row r="755" ht="22.5" customHeight="1">
      <c r="A755" s="233"/>
      <c r="B755" s="227"/>
      <c r="C755" s="234"/>
      <c r="D755" s="226"/>
      <c r="E755" s="275"/>
      <c r="F755" s="90"/>
    </row>
    <row r="756" ht="22.5" customHeight="1">
      <c r="A756" s="233"/>
      <c r="B756" s="227"/>
      <c r="C756" s="234"/>
      <c r="D756" s="226"/>
      <c r="E756" s="275"/>
      <c r="F756" s="90"/>
    </row>
    <row r="757" ht="22.5" customHeight="1">
      <c r="A757" s="233"/>
      <c r="B757" s="227"/>
      <c r="C757" s="234"/>
      <c r="D757" s="226"/>
      <c r="E757" s="275"/>
      <c r="F757" s="90"/>
    </row>
    <row r="758" ht="22.5" customHeight="1">
      <c r="A758" s="233"/>
      <c r="B758" s="227"/>
      <c r="C758" s="234"/>
      <c r="D758" s="226"/>
      <c r="E758" s="275"/>
      <c r="F758" s="90"/>
    </row>
    <row r="759" ht="22.5" customHeight="1">
      <c r="A759" s="233"/>
      <c r="B759" s="227"/>
      <c r="C759" s="234"/>
      <c r="D759" s="226"/>
      <c r="E759" s="275"/>
      <c r="F759" s="90"/>
    </row>
    <row r="760" ht="22.5" customHeight="1">
      <c r="A760" s="233"/>
      <c r="B760" s="227"/>
      <c r="C760" s="234"/>
      <c r="D760" s="226"/>
      <c r="E760" s="275"/>
      <c r="F760" s="90"/>
    </row>
    <row r="761" ht="22.5" customHeight="1">
      <c r="A761" s="233"/>
      <c r="B761" s="227"/>
      <c r="C761" s="234"/>
      <c r="D761" s="226"/>
      <c r="E761" s="275"/>
      <c r="F761" s="90"/>
    </row>
    <row r="762" ht="22.5" customHeight="1">
      <c r="A762" s="233"/>
      <c r="B762" s="227"/>
      <c r="C762" s="234"/>
      <c r="D762" s="226"/>
      <c r="E762" s="275"/>
      <c r="F762" s="90"/>
    </row>
    <row r="763" ht="22.5" customHeight="1">
      <c r="A763" s="233"/>
      <c r="B763" s="227"/>
      <c r="C763" s="234"/>
      <c r="D763" s="226"/>
      <c r="E763" s="275"/>
      <c r="F763" s="90"/>
    </row>
    <row r="764" ht="22.5" customHeight="1">
      <c r="A764" s="233"/>
      <c r="B764" s="227"/>
      <c r="C764" s="234"/>
      <c r="D764" s="226"/>
      <c r="E764" s="275"/>
      <c r="F764" s="90"/>
    </row>
    <row r="765" ht="22.5" customHeight="1">
      <c r="A765" s="233"/>
      <c r="B765" s="227"/>
      <c r="C765" s="234"/>
      <c r="D765" s="226"/>
      <c r="E765" s="275"/>
      <c r="F765" s="90"/>
    </row>
    <row r="766" ht="22.5" customHeight="1">
      <c r="A766" s="233"/>
      <c r="B766" s="227"/>
      <c r="C766" s="234"/>
      <c r="D766" s="226"/>
      <c r="E766" s="275"/>
      <c r="F766" s="90"/>
    </row>
    <row r="767" ht="22.5" customHeight="1">
      <c r="A767" s="233"/>
      <c r="B767" s="227"/>
      <c r="C767" s="234"/>
      <c r="D767" s="226"/>
      <c r="E767" s="275"/>
      <c r="F767" s="90"/>
    </row>
    <row r="768" ht="22.5" customHeight="1">
      <c r="A768" s="233"/>
      <c r="B768" s="227"/>
      <c r="C768" s="234"/>
      <c r="D768" s="226"/>
      <c r="E768" s="275"/>
      <c r="F768" s="90"/>
    </row>
    <row r="769" ht="22.5" customHeight="1">
      <c r="A769" s="233"/>
      <c r="B769" s="227"/>
      <c r="C769" s="234"/>
      <c r="D769" s="226"/>
      <c r="E769" s="275"/>
      <c r="F769" s="90"/>
    </row>
    <row r="770" ht="22.5" customHeight="1">
      <c r="A770" s="233"/>
      <c r="B770" s="227"/>
      <c r="C770" s="234"/>
      <c r="D770" s="226"/>
      <c r="E770" s="275"/>
      <c r="F770" s="90"/>
    </row>
    <row r="771" ht="22.5" customHeight="1">
      <c r="A771" s="233"/>
      <c r="B771" s="227"/>
      <c r="C771" s="234"/>
      <c r="D771" s="226"/>
      <c r="E771" s="275"/>
      <c r="F771" s="90"/>
    </row>
    <row r="772" ht="22.5" customHeight="1">
      <c r="A772" s="233"/>
      <c r="B772" s="227"/>
      <c r="C772" s="234"/>
      <c r="D772" s="226"/>
      <c r="E772" s="275"/>
      <c r="F772" s="90"/>
    </row>
    <row r="773" ht="22.5" customHeight="1">
      <c r="A773" s="233"/>
      <c r="B773" s="227"/>
      <c r="C773" s="234"/>
      <c r="D773" s="226"/>
      <c r="E773" s="275"/>
      <c r="F773" s="90"/>
    </row>
    <row r="774" ht="22.5" customHeight="1">
      <c r="A774" s="233"/>
      <c r="B774" s="227"/>
      <c r="C774" s="234"/>
      <c r="D774" s="226"/>
      <c r="E774" s="275"/>
      <c r="F774" s="90"/>
    </row>
    <row r="775" ht="22.5" customHeight="1">
      <c r="A775" s="233"/>
      <c r="B775" s="227"/>
      <c r="C775" s="234"/>
      <c r="D775" s="226"/>
      <c r="E775" s="275"/>
      <c r="F775" s="90"/>
    </row>
    <row r="776" ht="22.5" customHeight="1">
      <c r="A776" s="233"/>
      <c r="B776" s="227"/>
      <c r="C776" s="234"/>
      <c r="D776" s="226"/>
      <c r="E776" s="275"/>
      <c r="F776" s="90"/>
    </row>
    <row r="777" ht="22.5" customHeight="1">
      <c r="A777" s="233"/>
      <c r="B777" s="227"/>
      <c r="C777" s="234"/>
      <c r="D777" s="226"/>
      <c r="E777" s="275"/>
      <c r="F777" s="90"/>
    </row>
    <row r="778" ht="22.5" customHeight="1">
      <c r="A778" s="233"/>
      <c r="B778" s="227"/>
      <c r="C778" s="234"/>
      <c r="D778" s="226"/>
      <c r="E778" s="275"/>
      <c r="F778" s="90"/>
    </row>
    <row r="779" ht="22.5" customHeight="1">
      <c r="A779" s="233"/>
      <c r="B779" s="227"/>
      <c r="C779" s="234"/>
      <c r="D779" s="226"/>
      <c r="E779" s="275"/>
      <c r="F779" s="90"/>
    </row>
    <row r="780" ht="22.5" customHeight="1">
      <c r="A780" s="233"/>
      <c r="B780" s="227"/>
      <c r="C780" s="234"/>
      <c r="D780" s="226"/>
      <c r="E780" s="275"/>
      <c r="F780" s="90"/>
    </row>
    <row r="781" ht="22.5" customHeight="1">
      <c r="A781" s="233"/>
      <c r="B781" s="227"/>
      <c r="C781" s="234"/>
      <c r="D781" s="226"/>
      <c r="E781" s="275"/>
      <c r="F781" s="90"/>
    </row>
    <row r="782" ht="22.5" customHeight="1">
      <c r="A782" s="233"/>
      <c r="B782" s="227"/>
      <c r="C782" s="234"/>
      <c r="D782" s="226"/>
      <c r="E782" s="275"/>
      <c r="F782" s="90"/>
    </row>
    <row r="783" ht="22.5" customHeight="1">
      <c r="A783" s="233"/>
      <c r="B783" s="227"/>
      <c r="C783" s="234"/>
      <c r="D783" s="226"/>
      <c r="E783" s="275"/>
      <c r="F783" s="90"/>
    </row>
    <row r="784" ht="22.5" customHeight="1">
      <c r="A784" s="233"/>
      <c r="B784" s="227"/>
      <c r="C784" s="234"/>
      <c r="D784" s="226"/>
      <c r="E784" s="275"/>
      <c r="F784" s="90"/>
    </row>
    <row r="785" ht="22.5" customHeight="1">
      <c r="A785" s="233"/>
      <c r="B785" s="227"/>
      <c r="C785" s="234"/>
      <c r="D785" s="226"/>
      <c r="E785" s="275"/>
      <c r="F785" s="90"/>
    </row>
    <row r="786" ht="22.5" customHeight="1">
      <c r="A786" s="233"/>
      <c r="B786" s="227"/>
      <c r="C786" s="234"/>
      <c r="D786" s="226"/>
      <c r="E786" s="275"/>
      <c r="F786" s="90"/>
    </row>
    <row r="787" ht="22.5" customHeight="1">
      <c r="A787" s="233"/>
      <c r="B787" s="227"/>
      <c r="C787" s="234"/>
      <c r="D787" s="226"/>
      <c r="E787" s="275"/>
      <c r="F787" s="90"/>
    </row>
    <row r="788" ht="22.5" customHeight="1">
      <c r="A788" s="233"/>
      <c r="B788" s="227"/>
      <c r="C788" s="234"/>
      <c r="D788" s="226"/>
      <c r="E788" s="275"/>
      <c r="F788" s="90"/>
    </row>
    <row r="789" ht="22.5" customHeight="1">
      <c r="A789" s="233"/>
      <c r="B789" s="227"/>
      <c r="C789" s="234"/>
      <c r="D789" s="226"/>
      <c r="E789" s="275"/>
      <c r="F789" s="90"/>
    </row>
    <row r="790" ht="22.5" customHeight="1">
      <c r="A790" s="233"/>
      <c r="B790" s="227"/>
      <c r="C790" s="234"/>
      <c r="D790" s="226"/>
      <c r="E790" s="275"/>
      <c r="F790" s="90"/>
    </row>
    <row r="791" ht="22.5" customHeight="1">
      <c r="A791" s="233"/>
      <c r="B791" s="227"/>
      <c r="C791" s="234"/>
      <c r="D791" s="226"/>
      <c r="E791" s="275"/>
      <c r="F791" s="90"/>
    </row>
    <row r="792" ht="22.5" customHeight="1">
      <c r="A792" s="233"/>
      <c r="B792" s="227"/>
      <c r="C792" s="234"/>
      <c r="D792" s="226"/>
      <c r="E792" s="275"/>
      <c r="F792" s="90"/>
    </row>
    <row r="793" ht="22.5" customHeight="1">
      <c r="A793" s="233"/>
      <c r="B793" s="227"/>
      <c r="C793" s="234"/>
      <c r="D793" s="226"/>
      <c r="E793" s="275"/>
      <c r="F793" s="90"/>
    </row>
    <row r="794" ht="22.5" customHeight="1">
      <c r="A794" s="233"/>
      <c r="B794" s="227"/>
      <c r="C794" s="234"/>
      <c r="D794" s="226"/>
      <c r="E794" s="275"/>
      <c r="F794" s="90"/>
    </row>
    <row r="795" ht="22.5" customHeight="1">
      <c r="A795" s="233"/>
      <c r="B795" s="227"/>
      <c r="C795" s="234"/>
      <c r="D795" s="226"/>
      <c r="E795" s="275"/>
      <c r="F795" s="90"/>
    </row>
    <row r="796" ht="22.5" customHeight="1">
      <c r="A796" s="233"/>
      <c r="B796" s="227"/>
      <c r="C796" s="234"/>
      <c r="D796" s="226"/>
      <c r="E796" s="275"/>
      <c r="F796" s="90"/>
    </row>
    <row r="797" ht="22.5" customHeight="1">
      <c r="A797" s="233"/>
      <c r="B797" s="227"/>
      <c r="C797" s="234"/>
      <c r="D797" s="226"/>
      <c r="E797" s="275"/>
      <c r="F797" s="90"/>
    </row>
    <row r="798" ht="22.5" customHeight="1">
      <c r="A798" s="233"/>
      <c r="B798" s="227"/>
      <c r="C798" s="234"/>
      <c r="D798" s="226"/>
      <c r="E798" s="275"/>
      <c r="F798" s="90"/>
    </row>
    <row r="799" ht="22.5" customHeight="1">
      <c r="A799" s="233"/>
      <c r="B799" s="227"/>
      <c r="C799" s="234"/>
      <c r="D799" s="226"/>
      <c r="E799" s="275"/>
      <c r="F799" s="90"/>
    </row>
    <row r="800" ht="22.5" customHeight="1">
      <c r="A800" s="233"/>
      <c r="B800" s="227"/>
      <c r="C800" s="234"/>
      <c r="D800" s="226"/>
      <c r="E800" s="275"/>
      <c r="F800" s="90"/>
    </row>
    <row r="801" ht="22.5" customHeight="1">
      <c r="A801" s="233"/>
      <c r="B801" s="227"/>
      <c r="C801" s="234"/>
      <c r="D801" s="226"/>
      <c r="E801" s="275"/>
      <c r="F801" s="90"/>
    </row>
    <row r="802" ht="22.5" customHeight="1">
      <c r="A802" s="233"/>
      <c r="B802" s="227"/>
      <c r="C802" s="234"/>
      <c r="D802" s="226"/>
      <c r="E802" s="275"/>
      <c r="F802" s="90"/>
    </row>
    <row r="803" ht="22.5" customHeight="1">
      <c r="A803" s="233"/>
      <c r="B803" s="227"/>
      <c r="C803" s="234"/>
      <c r="D803" s="226"/>
      <c r="E803" s="275"/>
      <c r="F803" s="90"/>
    </row>
    <row r="804" ht="22.5" customHeight="1">
      <c r="A804" s="233"/>
      <c r="B804" s="227"/>
      <c r="C804" s="234"/>
      <c r="D804" s="226"/>
      <c r="E804" s="275"/>
      <c r="F804" s="90"/>
    </row>
    <row r="805" ht="22.5" customHeight="1">
      <c r="A805" s="233"/>
      <c r="B805" s="227"/>
      <c r="C805" s="234"/>
      <c r="D805" s="226"/>
      <c r="E805" s="275"/>
      <c r="F805" s="90"/>
    </row>
    <row r="806" ht="22.5" customHeight="1">
      <c r="A806" s="233"/>
      <c r="B806" s="227"/>
      <c r="C806" s="234"/>
      <c r="D806" s="226"/>
      <c r="E806" s="275"/>
      <c r="F806" s="90"/>
    </row>
    <row r="807" ht="22.5" customHeight="1">
      <c r="A807" s="233"/>
      <c r="B807" s="227"/>
      <c r="C807" s="234"/>
      <c r="D807" s="226"/>
      <c r="E807" s="275"/>
      <c r="F807" s="90"/>
    </row>
    <row r="808" ht="22.5" customHeight="1">
      <c r="A808" s="233"/>
      <c r="B808" s="227"/>
      <c r="C808" s="234"/>
      <c r="D808" s="226"/>
      <c r="E808" s="275"/>
      <c r="F808" s="90"/>
    </row>
    <row r="809" ht="22.5" customHeight="1">
      <c r="A809" s="233"/>
      <c r="B809" s="227"/>
      <c r="C809" s="234"/>
      <c r="D809" s="226"/>
      <c r="E809" s="275"/>
      <c r="F809" s="90"/>
    </row>
    <row r="810" ht="22.5" customHeight="1">
      <c r="A810" s="233"/>
      <c r="B810" s="227"/>
      <c r="C810" s="234"/>
      <c r="D810" s="226"/>
      <c r="E810" s="275"/>
      <c r="F810" s="90"/>
    </row>
    <row r="811" ht="22.5" customHeight="1">
      <c r="A811" s="233"/>
      <c r="B811" s="227"/>
      <c r="C811" s="234"/>
      <c r="D811" s="226"/>
      <c r="E811" s="275"/>
      <c r="F811" s="90"/>
    </row>
    <row r="812" ht="22.5" customHeight="1">
      <c r="A812" s="233"/>
      <c r="B812" s="227"/>
      <c r="C812" s="234"/>
      <c r="D812" s="226"/>
      <c r="E812" s="275"/>
      <c r="F812" s="90"/>
    </row>
    <row r="813" ht="22.5" customHeight="1">
      <c r="A813" s="233"/>
      <c r="B813" s="227"/>
      <c r="C813" s="234"/>
      <c r="D813" s="226"/>
      <c r="E813" s="275"/>
      <c r="F813" s="90"/>
    </row>
    <row r="814" ht="22.5" customHeight="1">
      <c r="A814" s="233"/>
      <c r="B814" s="227"/>
      <c r="C814" s="234"/>
      <c r="D814" s="226"/>
      <c r="E814" s="275"/>
      <c r="F814" s="90"/>
    </row>
    <row r="815" ht="22.5" customHeight="1">
      <c r="A815" s="233"/>
      <c r="B815" s="227"/>
      <c r="C815" s="234"/>
      <c r="D815" s="226"/>
      <c r="E815" s="275"/>
      <c r="F815" s="90"/>
    </row>
    <row r="816" ht="22.5" customHeight="1">
      <c r="A816" s="233"/>
      <c r="B816" s="227"/>
      <c r="C816" s="234"/>
      <c r="D816" s="226"/>
      <c r="E816" s="275"/>
      <c r="F816" s="90"/>
    </row>
    <row r="817" ht="22.5" customHeight="1">
      <c r="A817" s="233"/>
      <c r="B817" s="227"/>
      <c r="C817" s="234"/>
      <c r="D817" s="226"/>
      <c r="E817" s="275"/>
      <c r="F817" s="90"/>
    </row>
    <row r="818" ht="22.5" customHeight="1">
      <c r="A818" s="233"/>
      <c r="B818" s="227"/>
      <c r="C818" s="234"/>
      <c r="D818" s="226"/>
      <c r="E818" s="275"/>
      <c r="F818" s="90"/>
    </row>
    <row r="819" ht="22.5" customHeight="1">
      <c r="A819" s="233"/>
      <c r="B819" s="227"/>
      <c r="C819" s="234"/>
      <c r="D819" s="226"/>
      <c r="E819" s="275"/>
      <c r="F819" s="90"/>
    </row>
    <row r="820" ht="22.5" customHeight="1">
      <c r="A820" s="233"/>
      <c r="B820" s="227"/>
      <c r="C820" s="234"/>
      <c r="D820" s="226"/>
      <c r="E820" s="275"/>
      <c r="F820" s="90"/>
    </row>
    <row r="821" ht="22.5" customHeight="1">
      <c r="A821" s="233"/>
      <c r="B821" s="227"/>
      <c r="C821" s="234"/>
      <c r="D821" s="226"/>
      <c r="E821" s="275"/>
      <c r="F821" s="90"/>
    </row>
    <row r="822" ht="22.5" customHeight="1">
      <c r="A822" s="233"/>
      <c r="B822" s="227"/>
      <c r="C822" s="234"/>
      <c r="D822" s="226"/>
      <c r="E822" s="275"/>
      <c r="F822" s="90"/>
    </row>
    <row r="823" ht="22.5" customHeight="1">
      <c r="A823" s="233"/>
      <c r="B823" s="227"/>
      <c r="C823" s="234"/>
      <c r="D823" s="226"/>
      <c r="E823" s="275"/>
      <c r="F823" s="90"/>
    </row>
    <row r="824" ht="22.5" customHeight="1">
      <c r="A824" s="233"/>
      <c r="B824" s="227"/>
      <c r="C824" s="234"/>
      <c r="D824" s="226"/>
      <c r="E824" s="275"/>
      <c r="F824" s="90"/>
    </row>
    <row r="825" ht="22.5" customHeight="1">
      <c r="A825" s="233"/>
      <c r="B825" s="227"/>
      <c r="C825" s="234"/>
      <c r="D825" s="226"/>
      <c r="E825" s="275"/>
      <c r="F825" s="90"/>
    </row>
    <row r="826" ht="22.5" customHeight="1">
      <c r="A826" s="233"/>
      <c r="B826" s="227"/>
      <c r="C826" s="234"/>
      <c r="D826" s="226"/>
      <c r="E826" s="275"/>
      <c r="F826" s="90"/>
    </row>
    <row r="827" ht="22.5" customHeight="1">
      <c r="A827" s="233"/>
      <c r="B827" s="227"/>
      <c r="C827" s="234"/>
      <c r="D827" s="226"/>
      <c r="E827" s="275"/>
      <c r="F827" s="90"/>
    </row>
    <row r="828" ht="22.5" customHeight="1">
      <c r="A828" s="233"/>
      <c r="B828" s="227"/>
      <c r="C828" s="234"/>
      <c r="D828" s="226"/>
      <c r="E828" s="275"/>
      <c r="F828" s="90"/>
    </row>
    <row r="829" ht="22.5" customHeight="1">
      <c r="A829" s="233"/>
      <c r="B829" s="227"/>
      <c r="C829" s="234"/>
      <c r="D829" s="226"/>
      <c r="E829" s="275"/>
      <c r="F829" s="90"/>
    </row>
    <row r="830" ht="22.5" customHeight="1">
      <c r="A830" s="233"/>
      <c r="B830" s="227"/>
      <c r="C830" s="234"/>
      <c r="D830" s="226"/>
      <c r="E830" s="275"/>
      <c r="F830" s="90"/>
    </row>
    <row r="831" ht="22.5" customHeight="1">
      <c r="A831" s="233"/>
      <c r="B831" s="227"/>
      <c r="C831" s="234"/>
      <c r="D831" s="226"/>
      <c r="E831" s="275"/>
      <c r="F831" s="90"/>
    </row>
    <row r="832" ht="22.5" customHeight="1">
      <c r="A832" s="233"/>
      <c r="B832" s="227"/>
      <c r="C832" s="234"/>
      <c r="D832" s="226"/>
      <c r="E832" s="275"/>
      <c r="F832" s="90"/>
    </row>
    <row r="833" ht="22.5" customHeight="1">
      <c r="A833" s="233"/>
      <c r="B833" s="227"/>
      <c r="C833" s="234"/>
      <c r="D833" s="226"/>
      <c r="E833" s="275"/>
      <c r="F833" s="90"/>
    </row>
    <row r="834" ht="22.5" customHeight="1">
      <c r="A834" s="233"/>
      <c r="B834" s="227"/>
      <c r="C834" s="234"/>
      <c r="D834" s="226"/>
      <c r="E834" s="275"/>
      <c r="F834" s="90"/>
    </row>
    <row r="835" ht="22.5" customHeight="1">
      <c r="A835" s="233"/>
      <c r="B835" s="227"/>
      <c r="C835" s="234"/>
      <c r="D835" s="226"/>
      <c r="E835" s="275"/>
      <c r="F835" s="90"/>
    </row>
    <row r="836" ht="22.5" customHeight="1">
      <c r="A836" s="233"/>
      <c r="B836" s="227"/>
      <c r="C836" s="234"/>
      <c r="D836" s="226"/>
      <c r="E836" s="275"/>
      <c r="F836" s="90"/>
    </row>
    <row r="837" ht="22.5" customHeight="1">
      <c r="A837" s="233"/>
      <c r="B837" s="227"/>
      <c r="C837" s="234"/>
      <c r="D837" s="226"/>
      <c r="E837" s="275"/>
      <c r="F837" s="90"/>
    </row>
    <row r="838" ht="22.5" customHeight="1">
      <c r="A838" s="233"/>
      <c r="B838" s="227"/>
      <c r="C838" s="234"/>
      <c r="D838" s="226"/>
      <c r="E838" s="275"/>
      <c r="F838" s="90"/>
    </row>
    <row r="839" ht="22.5" customHeight="1">
      <c r="A839" s="233"/>
      <c r="B839" s="227"/>
      <c r="C839" s="234"/>
      <c r="D839" s="226"/>
      <c r="E839" s="275"/>
      <c r="F839" s="90"/>
    </row>
    <row r="840" ht="22.5" customHeight="1">
      <c r="A840" s="233"/>
      <c r="B840" s="227"/>
      <c r="C840" s="234"/>
      <c r="D840" s="226"/>
      <c r="E840" s="275"/>
      <c r="F840" s="90"/>
    </row>
    <row r="841" ht="22.5" customHeight="1">
      <c r="A841" s="233"/>
      <c r="B841" s="227"/>
      <c r="C841" s="234"/>
      <c r="D841" s="226"/>
      <c r="E841" s="275"/>
      <c r="F841" s="90"/>
    </row>
    <row r="842" ht="22.5" customHeight="1">
      <c r="A842" s="233"/>
      <c r="B842" s="227"/>
      <c r="C842" s="234"/>
      <c r="D842" s="226"/>
      <c r="E842" s="275"/>
      <c r="F842" s="90"/>
    </row>
    <row r="843" ht="22.5" customHeight="1">
      <c r="A843" s="233"/>
      <c r="B843" s="227"/>
      <c r="C843" s="234"/>
      <c r="D843" s="226"/>
      <c r="E843" s="275"/>
      <c r="F843" s="90"/>
    </row>
    <row r="844" ht="22.5" customHeight="1">
      <c r="A844" s="233"/>
      <c r="B844" s="227"/>
      <c r="C844" s="234"/>
      <c r="D844" s="226"/>
      <c r="E844" s="275"/>
      <c r="F844" s="90"/>
    </row>
    <row r="845" ht="22.5" customHeight="1">
      <c r="A845" s="233"/>
      <c r="B845" s="227"/>
      <c r="C845" s="234"/>
      <c r="D845" s="226"/>
      <c r="E845" s="275"/>
      <c r="F845" s="90"/>
    </row>
    <row r="846" ht="22.5" customHeight="1">
      <c r="A846" s="233"/>
      <c r="B846" s="227"/>
      <c r="C846" s="234"/>
      <c r="D846" s="226"/>
      <c r="E846" s="275"/>
      <c r="F846" s="90"/>
    </row>
    <row r="847" ht="22.5" customHeight="1">
      <c r="A847" s="233"/>
      <c r="B847" s="227"/>
      <c r="C847" s="234"/>
      <c r="D847" s="226"/>
      <c r="E847" s="275"/>
      <c r="F847" s="90"/>
    </row>
    <row r="848" ht="22.5" customHeight="1">
      <c r="A848" s="233"/>
      <c r="B848" s="227"/>
      <c r="C848" s="234"/>
      <c r="D848" s="226"/>
      <c r="E848" s="275"/>
      <c r="F848" s="90"/>
    </row>
    <row r="849" ht="22.5" customHeight="1">
      <c r="A849" s="233"/>
      <c r="B849" s="227"/>
      <c r="C849" s="234"/>
      <c r="D849" s="226"/>
      <c r="E849" s="275"/>
      <c r="F849" s="90"/>
    </row>
    <row r="850" ht="22.5" customHeight="1">
      <c r="A850" s="233"/>
      <c r="B850" s="227"/>
      <c r="C850" s="234"/>
      <c r="D850" s="226"/>
      <c r="E850" s="275"/>
      <c r="F850" s="90"/>
    </row>
    <row r="851" ht="22.5" customHeight="1">
      <c r="A851" s="233"/>
      <c r="B851" s="227"/>
      <c r="C851" s="234"/>
      <c r="D851" s="226"/>
      <c r="E851" s="275"/>
      <c r="F851" s="90"/>
    </row>
    <row r="852" ht="22.5" customHeight="1">
      <c r="A852" s="233"/>
      <c r="B852" s="227"/>
      <c r="C852" s="234"/>
      <c r="D852" s="226"/>
      <c r="E852" s="275"/>
      <c r="F852" s="90"/>
    </row>
    <row r="853" ht="22.5" customHeight="1">
      <c r="A853" s="233"/>
      <c r="B853" s="227"/>
      <c r="C853" s="234"/>
      <c r="D853" s="226"/>
      <c r="E853" s="275"/>
      <c r="F853" s="90"/>
    </row>
    <row r="854" ht="22.5" customHeight="1">
      <c r="A854" s="233"/>
      <c r="B854" s="227"/>
      <c r="C854" s="234"/>
      <c r="D854" s="226"/>
      <c r="E854" s="275"/>
      <c r="F854" s="90"/>
    </row>
    <row r="855" ht="22.5" customHeight="1">
      <c r="A855" s="233"/>
      <c r="B855" s="227"/>
      <c r="C855" s="234"/>
      <c r="D855" s="226"/>
      <c r="E855" s="275"/>
      <c r="F855" s="90"/>
    </row>
    <row r="856" ht="22.5" customHeight="1">
      <c r="A856" s="233"/>
      <c r="B856" s="227"/>
      <c r="C856" s="234"/>
      <c r="D856" s="226"/>
      <c r="E856" s="275"/>
      <c r="F856" s="90"/>
    </row>
    <row r="857" ht="22.5" customHeight="1">
      <c r="A857" s="233"/>
      <c r="B857" s="227"/>
      <c r="C857" s="234"/>
      <c r="D857" s="226"/>
      <c r="E857" s="275"/>
      <c r="F857" s="90"/>
    </row>
    <row r="858" ht="22.5" customHeight="1">
      <c r="A858" s="233"/>
      <c r="B858" s="227"/>
      <c r="C858" s="234"/>
      <c r="D858" s="226"/>
      <c r="E858" s="275"/>
      <c r="F858" s="90"/>
    </row>
    <row r="859" ht="22.5" customHeight="1">
      <c r="A859" s="233"/>
      <c r="B859" s="227"/>
      <c r="C859" s="234"/>
      <c r="D859" s="226"/>
      <c r="E859" s="275"/>
      <c r="F859" s="90"/>
    </row>
    <row r="860" ht="22.5" customHeight="1">
      <c r="A860" s="233"/>
      <c r="B860" s="227"/>
      <c r="C860" s="234"/>
      <c r="D860" s="226"/>
      <c r="E860" s="275"/>
      <c r="F860" s="90"/>
    </row>
    <row r="861" ht="22.5" customHeight="1">
      <c r="A861" s="233"/>
      <c r="B861" s="227"/>
      <c r="C861" s="234"/>
      <c r="D861" s="226"/>
      <c r="E861" s="275"/>
      <c r="F861" s="90"/>
    </row>
    <row r="862" ht="22.5" customHeight="1">
      <c r="A862" s="233"/>
      <c r="B862" s="227"/>
      <c r="C862" s="234"/>
      <c r="D862" s="226"/>
      <c r="E862" s="275"/>
      <c r="F862" s="90"/>
    </row>
    <row r="863" ht="22.5" customHeight="1">
      <c r="A863" s="233"/>
      <c r="B863" s="227"/>
      <c r="C863" s="234"/>
      <c r="D863" s="226"/>
      <c r="E863" s="275"/>
      <c r="F863" s="90"/>
    </row>
    <row r="864" ht="22.5" customHeight="1">
      <c r="A864" s="233"/>
      <c r="B864" s="227"/>
      <c r="C864" s="234"/>
      <c r="D864" s="226"/>
      <c r="E864" s="275"/>
      <c r="F864" s="90"/>
    </row>
    <row r="865" ht="22.5" customHeight="1">
      <c r="A865" s="233"/>
      <c r="B865" s="227"/>
      <c r="C865" s="234"/>
      <c r="D865" s="226"/>
      <c r="E865" s="275"/>
      <c r="F865" s="90"/>
    </row>
    <row r="866" ht="22.5" customHeight="1">
      <c r="A866" s="233"/>
      <c r="B866" s="227"/>
      <c r="C866" s="234"/>
      <c r="D866" s="226"/>
      <c r="E866" s="275"/>
      <c r="F866" s="90"/>
    </row>
    <row r="867" ht="22.5" customHeight="1">
      <c r="A867" s="233"/>
      <c r="B867" s="227"/>
      <c r="C867" s="234"/>
      <c r="D867" s="226"/>
      <c r="E867" s="275"/>
      <c r="F867" s="90"/>
    </row>
    <row r="868" ht="22.5" customHeight="1">
      <c r="A868" s="233"/>
      <c r="B868" s="227"/>
      <c r="C868" s="234"/>
      <c r="D868" s="226"/>
      <c r="E868" s="275"/>
      <c r="F868" s="90"/>
    </row>
    <row r="869" ht="22.5" customHeight="1">
      <c r="A869" s="233"/>
      <c r="B869" s="227"/>
      <c r="C869" s="234"/>
      <c r="D869" s="226"/>
      <c r="E869" s="275"/>
      <c r="F869" s="90"/>
    </row>
    <row r="870" ht="22.5" customHeight="1">
      <c r="A870" s="233"/>
      <c r="B870" s="227"/>
      <c r="C870" s="234"/>
      <c r="D870" s="226"/>
      <c r="E870" s="275"/>
      <c r="F870" s="90"/>
    </row>
    <row r="871" ht="22.5" customHeight="1">
      <c r="A871" s="233"/>
      <c r="B871" s="227"/>
      <c r="C871" s="234"/>
      <c r="D871" s="226"/>
      <c r="E871" s="275"/>
      <c r="F871" s="90"/>
    </row>
    <row r="872" ht="22.5" customHeight="1">
      <c r="A872" s="233"/>
      <c r="B872" s="227"/>
      <c r="C872" s="234"/>
      <c r="D872" s="226"/>
      <c r="E872" s="275"/>
      <c r="F872" s="90"/>
    </row>
    <row r="873" ht="22.5" customHeight="1">
      <c r="A873" s="233"/>
      <c r="B873" s="227"/>
      <c r="C873" s="234"/>
      <c r="D873" s="226"/>
      <c r="E873" s="275"/>
      <c r="F873" s="90"/>
    </row>
    <row r="874" ht="22.5" customHeight="1">
      <c r="A874" s="233"/>
      <c r="B874" s="227"/>
      <c r="C874" s="234"/>
      <c r="D874" s="226"/>
      <c r="E874" s="275"/>
      <c r="F874" s="90"/>
    </row>
    <row r="875" ht="22.5" customHeight="1">
      <c r="A875" s="233"/>
      <c r="B875" s="227"/>
      <c r="C875" s="234"/>
      <c r="D875" s="226"/>
      <c r="E875" s="275"/>
      <c r="F875" s="90"/>
    </row>
    <row r="876" ht="22.5" customHeight="1">
      <c r="A876" s="233"/>
      <c r="B876" s="227"/>
      <c r="C876" s="234"/>
      <c r="D876" s="226"/>
      <c r="E876" s="275"/>
      <c r="F876" s="90"/>
    </row>
    <row r="877" ht="22.5" customHeight="1">
      <c r="A877" s="233"/>
      <c r="B877" s="227"/>
      <c r="C877" s="234"/>
      <c r="D877" s="226"/>
      <c r="E877" s="275"/>
      <c r="F877" s="90"/>
    </row>
    <row r="878" ht="22.5" customHeight="1">
      <c r="A878" s="233"/>
      <c r="B878" s="227"/>
      <c r="C878" s="234"/>
      <c r="D878" s="226"/>
      <c r="E878" s="275"/>
      <c r="F878" s="90"/>
    </row>
    <row r="879" ht="22.5" customHeight="1">
      <c r="A879" s="233"/>
      <c r="B879" s="227"/>
      <c r="C879" s="234"/>
      <c r="D879" s="226"/>
      <c r="E879" s="275"/>
      <c r="F879" s="90"/>
    </row>
    <row r="880" ht="22.5" customHeight="1">
      <c r="A880" s="233"/>
      <c r="B880" s="227"/>
      <c r="C880" s="234"/>
      <c r="D880" s="226"/>
      <c r="E880" s="275"/>
      <c r="F880" s="90"/>
    </row>
    <row r="881" ht="22.5" customHeight="1">
      <c r="A881" s="233"/>
      <c r="B881" s="227"/>
      <c r="C881" s="234"/>
      <c r="D881" s="226"/>
      <c r="E881" s="275"/>
      <c r="F881" s="90"/>
    </row>
    <row r="882" ht="22.5" customHeight="1">
      <c r="A882" s="233"/>
      <c r="B882" s="227"/>
      <c r="C882" s="234"/>
      <c r="D882" s="226"/>
      <c r="E882" s="275"/>
      <c r="F882" s="90"/>
    </row>
    <row r="883" ht="22.5" customHeight="1">
      <c r="A883" s="233"/>
      <c r="B883" s="227"/>
      <c r="C883" s="234"/>
      <c r="D883" s="226"/>
      <c r="E883" s="275"/>
      <c r="F883" s="90"/>
    </row>
    <row r="884" ht="22.5" customHeight="1">
      <c r="A884" s="233"/>
      <c r="B884" s="227"/>
      <c r="C884" s="234"/>
      <c r="D884" s="226"/>
      <c r="E884" s="275"/>
      <c r="F884" s="90"/>
    </row>
    <row r="885" ht="22.5" customHeight="1">
      <c r="A885" s="233"/>
      <c r="B885" s="227"/>
      <c r="C885" s="234"/>
      <c r="D885" s="226"/>
      <c r="E885" s="275"/>
      <c r="F885" s="90"/>
    </row>
    <row r="886" ht="22.5" customHeight="1">
      <c r="A886" s="233"/>
      <c r="B886" s="227"/>
      <c r="C886" s="234"/>
      <c r="D886" s="226"/>
      <c r="E886" s="275"/>
      <c r="F886" s="90"/>
    </row>
    <row r="887" ht="22.5" customHeight="1">
      <c r="A887" s="233"/>
      <c r="B887" s="227"/>
      <c r="C887" s="234"/>
      <c r="D887" s="226"/>
      <c r="E887" s="275"/>
      <c r="F887" s="90"/>
    </row>
    <row r="888" ht="22.5" customHeight="1">
      <c r="A888" s="233"/>
      <c r="B888" s="227"/>
      <c r="C888" s="234"/>
      <c r="D888" s="226"/>
      <c r="E888" s="275"/>
      <c r="F888" s="90"/>
    </row>
    <row r="889" ht="22.5" customHeight="1">
      <c r="A889" s="233"/>
      <c r="B889" s="227"/>
      <c r="C889" s="234"/>
      <c r="D889" s="226"/>
      <c r="E889" s="275"/>
      <c r="F889" s="90"/>
    </row>
    <row r="890" ht="22.5" customHeight="1">
      <c r="A890" s="233"/>
      <c r="B890" s="227"/>
      <c r="C890" s="234"/>
      <c r="D890" s="226"/>
      <c r="E890" s="275"/>
      <c r="F890" s="90"/>
    </row>
    <row r="891" ht="22.5" customHeight="1">
      <c r="A891" s="233"/>
      <c r="B891" s="227"/>
      <c r="C891" s="234"/>
      <c r="D891" s="226"/>
      <c r="E891" s="275"/>
      <c r="F891" s="90"/>
    </row>
    <row r="892" ht="22.5" customHeight="1">
      <c r="A892" s="233"/>
      <c r="B892" s="227"/>
      <c r="C892" s="234"/>
      <c r="D892" s="226"/>
      <c r="E892" s="275"/>
      <c r="F892" s="90"/>
    </row>
    <row r="893" ht="22.5" customHeight="1">
      <c r="A893" s="233"/>
      <c r="B893" s="227"/>
      <c r="C893" s="234"/>
      <c r="D893" s="226"/>
      <c r="E893" s="275"/>
      <c r="F893" s="90"/>
    </row>
    <row r="894" ht="22.5" customHeight="1">
      <c r="A894" s="233"/>
      <c r="B894" s="227"/>
      <c r="C894" s="234"/>
      <c r="D894" s="226"/>
      <c r="E894" s="275"/>
      <c r="F894" s="90"/>
    </row>
    <row r="895" ht="22.5" customHeight="1">
      <c r="A895" s="233"/>
      <c r="B895" s="227"/>
      <c r="C895" s="234"/>
      <c r="D895" s="226"/>
      <c r="E895" s="275"/>
      <c r="F895" s="90"/>
    </row>
    <row r="896" ht="22.5" customHeight="1">
      <c r="A896" s="233"/>
      <c r="B896" s="227"/>
      <c r="C896" s="234"/>
      <c r="D896" s="226"/>
      <c r="E896" s="275"/>
      <c r="F896" s="90"/>
    </row>
    <row r="897" ht="22.5" customHeight="1">
      <c r="A897" s="233"/>
      <c r="B897" s="227"/>
      <c r="C897" s="234"/>
      <c r="D897" s="226"/>
      <c r="E897" s="275"/>
      <c r="F897" s="90"/>
    </row>
    <row r="898" ht="22.5" customHeight="1">
      <c r="A898" s="233"/>
      <c r="B898" s="227"/>
      <c r="C898" s="234"/>
      <c r="D898" s="226"/>
      <c r="E898" s="275"/>
      <c r="F898" s="90"/>
    </row>
    <row r="899" ht="22.5" customHeight="1">
      <c r="A899" s="233"/>
      <c r="B899" s="227"/>
      <c r="C899" s="234"/>
      <c r="D899" s="226"/>
      <c r="E899" s="275"/>
      <c r="F899" s="90"/>
    </row>
    <row r="900" ht="22.5" customHeight="1">
      <c r="A900" s="233"/>
      <c r="B900" s="227"/>
      <c r="C900" s="234"/>
      <c r="D900" s="226"/>
      <c r="E900" s="275"/>
      <c r="F900" s="90"/>
    </row>
    <row r="901" ht="22.5" customHeight="1">
      <c r="A901" s="233"/>
      <c r="B901" s="227"/>
      <c r="C901" s="234"/>
      <c r="D901" s="226"/>
      <c r="E901" s="275"/>
      <c r="F901" s="90"/>
    </row>
    <row r="902" ht="22.5" customHeight="1">
      <c r="A902" s="233"/>
      <c r="B902" s="227"/>
      <c r="C902" s="234"/>
      <c r="D902" s="226"/>
      <c r="E902" s="275"/>
      <c r="F902" s="90"/>
    </row>
    <row r="903" ht="22.5" customHeight="1">
      <c r="A903" s="233"/>
      <c r="B903" s="227"/>
      <c r="C903" s="234"/>
      <c r="D903" s="226"/>
      <c r="E903" s="275"/>
      <c r="F903" s="90"/>
    </row>
    <row r="904" ht="22.5" customHeight="1">
      <c r="A904" s="233"/>
      <c r="B904" s="227"/>
      <c r="C904" s="234"/>
      <c r="D904" s="226"/>
      <c r="E904" s="275"/>
      <c r="F904" s="90"/>
    </row>
    <row r="905" ht="22.5" customHeight="1">
      <c r="A905" s="233"/>
      <c r="B905" s="227"/>
      <c r="C905" s="234"/>
      <c r="D905" s="226"/>
      <c r="E905" s="275"/>
      <c r="F905" s="90"/>
    </row>
    <row r="906" ht="22.5" customHeight="1">
      <c r="A906" s="233"/>
      <c r="B906" s="227"/>
      <c r="C906" s="234"/>
      <c r="D906" s="226"/>
      <c r="E906" s="275"/>
      <c r="F906" s="90"/>
    </row>
    <row r="907" ht="22.5" customHeight="1">
      <c r="A907" s="233"/>
      <c r="B907" s="227"/>
      <c r="C907" s="234"/>
      <c r="D907" s="226"/>
      <c r="E907" s="275"/>
      <c r="F907" s="90"/>
    </row>
    <row r="908" ht="22.5" customHeight="1">
      <c r="A908" s="233"/>
      <c r="B908" s="227"/>
      <c r="C908" s="234"/>
      <c r="D908" s="226"/>
      <c r="E908" s="275"/>
      <c r="F908" s="90"/>
    </row>
    <row r="909" ht="22.5" customHeight="1">
      <c r="A909" s="233"/>
      <c r="B909" s="227"/>
      <c r="C909" s="234"/>
      <c r="D909" s="226"/>
      <c r="E909" s="275"/>
      <c r="F909" s="90"/>
    </row>
    <row r="910" ht="22.5" customHeight="1">
      <c r="A910" s="233"/>
      <c r="B910" s="227"/>
      <c r="C910" s="234"/>
      <c r="D910" s="226"/>
      <c r="E910" s="275"/>
      <c r="F910" s="90"/>
    </row>
    <row r="911" ht="22.5" customHeight="1">
      <c r="A911" s="233"/>
      <c r="B911" s="227"/>
      <c r="C911" s="234"/>
      <c r="D911" s="226"/>
      <c r="E911" s="275"/>
      <c r="F911" s="90"/>
    </row>
    <row r="912" ht="22.5" customHeight="1">
      <c r="A912" s="233"/>
      <c r="B912" s="227"/>
      <c r="C912" s="234"/>
      <c r="D912" s="226"/>
      <c r="E912" s="275"/>
      <c r="F912" s="90"/>
    </row>
    <row r="913" ht="22.5" customHeight="1">
      <c r="A913" s="233"/>
      <c r="B913" s="227"/>
      <c r="C913" s="234"/>
      <c r="D913" s="226"/>
      <c r="E913" s="275"/>
      <c r="F913" s="90"/>
    </row>
    <row r="914" ht="22.5" customHeight="1">
      <c r="A914" s="233"/>
      <c r="B914" s="227"/>
      <c r="C914" s="234"/>
      <c r="D914" s="226"/>
      <c r="E914" s="275"/>
      <c r="F914" s="90"/>
    </row>
    <row r="915" ht="22.5" customHeight="1">
      <c r="A915" s="233"/>
      <c r="B915" s="227"/>
      <c r="C915" s="234"/>
      <c r="D915" s="226"/>
      <c r="E915" s="275"/>
      <c r="F915" s="90"/>
    </row>
    <row r="916" ht="22.5" customHeight="1">
      <c r="A916" s="233"/>
      <c r="B916" s="227"/>
      <c r="C916" s="234"/>
      <c r="D916" s="226"/>
      <c r="E916" s="275"/>
      <c r="F916" s="90"/>
    </row>
    <row r="917" ht="22.5" customHeight="1">
      <c r="A917" s="233"/>
      <c r="B917" s="227"/>
      <c r="C917" s="234"/>
      <c r="D917" s="226"/>
      <c r="E917" s="275"/>
      <c r="F917" s="90"/>
    </row>
    <row r="918" ht="22.5" customHeight="1">
      <c r="A918" s="233"/>
      <c r="B918" s="227"/>
      <c r="C918" s="234"/>
      <c r="D918" s="226"/>
      <c r="E918" s="275"/>
      <c r="F918" s="90"/>
    </row>
    <row r="919" ht="22.5" customHeight="1">
      <c r="A919" s="233"/>
      <c r="B919" s="227"/>
      <c r="C919" s="234"/>
      <c r="D919" s="226"/>
      <c r="E919" s="275"/>
      <c r="F919" s="90"/>
    </row>
    <row r="920" ht="22.5" customHeight="1">
      <c r="A920" s="233"/>
      <c r="B920" s="227"/>
      <c r="C920" s="234"/>
      <c r="D920" s="226"/>
      <c r="E920" s="275"/>
      <c r="F920" s="90"/>
    </row>
    <row r="921" ht="22.5" customHeight="1">
      <c r="A921" s="233"/>
      <c r="B921" s="227"/>
      <c r="C921" s="234"/>
      <c r="D921" s="226"/>
      <c r="E921" s="275"/>
      <c r="F921" s="90"/>
    </row>
    <row r="922" ht="22.5" customHeight="1">
      <c r="A922" s="233"/>
      <c r="B922" s="227"/>
      <c r="C922" s="234"/>
      <c r="D922" s="226"/>
      <c r="E922" s="275"/>
      <c r="F922" s="90"/>
    </row>
    <row r="923" ht="22.5" customHeight="1">
      <c r="A923" s="233"/>
      <c r="B923" s="227"/>
      <c r="C923" s="234"/>
      <c r="D923" s="226"/>
      <c r="E923" s="275"/>
      <c r="F923" s="90"/>
    </row>
    <row r="924" ht="22.5" customHeight="1">
      <c r="A924" s="233"/>
      <c r="B924" s="227"/>
      <c r="C924" s="234"/>
      <c r="D924" s="226"/>
      <c r="E924" s="275"/>
      <c r="F924" s="90"/>
    </row>
    <row r="925" ht="22.5" customHeight="1">
      <c r="A925" s="233"/>
      <c r="B925" s="227"/>
      <c r="C925" s="234"/>
      <c r="D925" s="226"/>
      <c r="E925" s="275"/>
      <c r="F925" s="90"/>
    </row>
    <row r="926" ht="22.5" customHeight="1">
      <c r="A926" s="233"/>
      <c r="B926" s="227"/>
      <c r="C926" s="234"/>
      <c r="D926" s="226"/>
      <c r="E926" s="275"/>
      <c r="F926" s="90"/>
    </row>
    <row r="927" ht="22.5" customHeight="1">
      <c r="A927" s="233"/>
      <c r="B927" s="227"/>
      <c r="C927" s="234"/>
      <c r="D927" s="226"/>
      <c r="E927" s="275"/>
      <c r="F927" s="90"/>
    </row>
    <row r="928" ht="22.5" customHeight="1">
      <c r="A928" s="233"/>
      <c r="B928" s="227"/>
      <c r="C928" s="234"/>
      <c r="D928" s="226"/>
      <c r="E928" s="275"/>
      <c r="F928" s="90"/>
    </row>
    <row r="929" ht="22.5" customHeight="1">
      <c r="A929" s="233"/>
      <c r="B929" s="227"/>
      <c r="C929" s="234"/>
      <c r="D929" s="226"/>
      <c r="E929" s="275"/>
      <c r="F929" s="90"/>
    </row>
    <row r="930" ht="22.5" customHeight="1">
      <c r="A930" s="233"/>
      <c r="B930" s="227"/>
      <c r="C930" s="234"/>
      <c r="D930" s="226"/>
      <c r="E930" s="275"/>
      <c r="F930" s="90"/>
    </row>
    <row r="931" ht="22.5" customHeight="1">
      <c r="A931" s="233"/>
      <c r="B931" s="227"/>
      <c r="C931" s="234"/>
      <c r="D931" s="226"/>
      <c r="E931" s="275"/>
      <c r="F931" s="90"/>
    </row>
    <row r="932" ht="22.5" customHeight="1">
      <c r="A932" s="233"/>
      <c r="B932" s="227"/>
      <c r="C932" s="234"/>
      <c r="D932" s="226"/>
      <c r="E932" s="275"/>
      <c r="F932" s="90"/>
    </row>
    <row r="933" ht="22.5" customHeight="1">
      <c r="A933" s="233"/>
      <c r="B933" s="227"/>
      <c r="C933" s="234"/>
      <c r="D933" s="226"/>
      <c r="E933" s="275"/>
      <c r="F933" s="90"/>
    </row>
    <row r="934" ht="22.5" customHeight="1">
      <c r="A934" s="233"/>
      <c r="B934" s="227"/>
      <c r="C934" s="234"/>
      <c r="D934" s="226"/>
      <c r="E934" s="275"/>
      <c r="F934" s="90"/>
    </row>
    <row r="935" ht="22.5" customHeight="1">
      <c r="A935" s="233"/>
      <c r="B935" s="227"/>
      <c r="C935" s="234"/>
      <c r="D935" s="226"/>
      <c r="E935" s="275"/>
      <c r="F935" s="90"/>
    </row>
    <row r="936" ht="22.5" customHeight="1">
      <c r="A936" s="233"/>
      <c r="B936" s="227"/>
      <c r="C936" s="234"/>
      <c r="D936" s="226"/>
      <c r="E936" s="275"/>
      <c r="F936" s="90"/>
    </row>
    <row r="937" ht="22.5" customHeight="1">
      <c r="A937" s="233"/>
      <c r="B937" s="227"/>
      <c r="C937" s="234"/>
      <c r="D937" s="226"/>
      <c r="E937" s="275"/>
      <c r="F937" s="90"/>
    </row>
    <row r="938" ht="22.5" customHeight="1">
      <c r="A938" s="233"/>
      <c r="B938" s="227"/>
      <c r="C938" s="234"/>
      <c r="D938" s="226"/>
      <c r="E938" s="275"/>
      <c r="F938" s="90"/>
    </row>
    <row r="939" ht="22.5" customHeight="1">
      <c r="A939" s="233"/>
      <c r="B939" s="227"/>
      <c r="C939" s="234"/>
      <c r="D939" s="226"/>
      <c r="E939" s="275"/>
      <c r="F939" s="90"/>
    </row>
    <row r="940" ht="22.5" customHeight="1">
      <c r="A940" s="233"/>
      <c r="B940" s="227"/>
      <c r="C940" s="234"/>
      <c r="D940" s="226"/>
      <c r="E940" s="275"/>
      <c r="F940" s="90"/>
    </row>
    <row r="941" ht="22.5" customHeight="1">
      <c r="A941" s="233"/>
      <c r="B941" s="227"/>
      <c r="C941" s="234"/>
      <c r="D941" s="226"/>
      <c r="E941" s="275"/>
      <c r="F941" s="90"/>
    </row>
    <row r="942" ht="22.5" customHeight="1">
      <c r="A942" s="233"/>
      <c r="B942" s="227"/>
      <c r="C942" s="234"/>
      <c r="D942" s="226"/>
      <c r="E942" s="275"/>
      <c r="F942" s="90"/>
    </row>
    <row r="943" ht="22.5" customHeight="1">
      <c r="A943" s="233"/>
      <c r="B943" s="227"/>
      <c r="C943" s="234"/>
      <c r="D943" s="226"/>
      <c r="E943" s="275"/>
      <c r="F943" s="90"/>
    </row>
    <row r="944" ht="22.5" customHeight="1">
      <c r="A944" s="233"/>
      <c r="B944" s="227"/>
      <c r="C944" s="234"/>
      <c r="D944" s="226"/>
      <c r="E944" s="275"/>
      <c r="F944" s="90"/>
    </row>
    <row r="945" ht="22.5" customHeight="1">
      <c r="A945" s="233"/>
      <c r="B945" s="227"/>
      <c r="C945" s="234"/>
      <c r="D945" s="226"/>
      <c r="E945" s="275"/>
      <c r="F945" s="90"/>
    </row>
    <row r="946" ht="22.5" customHeight="1">
      <c r="A946" s="233"/>
      <c r="B946" s="227"/>
      <c r="C946" s="234"/>
      <c r="D946" s="226"/>
      <c r="E946" s="275"/>
      <c r="F946" s="90"/>
    </row>
    <row r="947" ht="22.5" customHeight="1">
      <c r="A947" s="233"/>
      <c r="B947" s="227"/>
      <c r="C947" s="234"/>
      <c r="D947" s="226"/>
      <c r="E947" s="275"/>
      <c r="F947" s="90"/>
    </row>
    <row r="948" ht="22.5" customHeight="1">
      <c r="A948" s="233"/>
      <c r="B948" s="227"/>
      <c r="C948" s="234"/>
      <c r="D948" s="226"/>
      <c r="E948" s="275"/>
      <c r="F948" s="90"/>
    </row>
    <row r="949" ht="22.5" customHeight="1">
      <c r="A949" s="233"/>
      <c r="B949" s="227"/>
      <c r="C949" s="234"/>
      <c r="D949" s="226"/>
      <c r="E949" s="275"/>
      <c r="F949" s="90"/>
    </row>
    <row r="950" ht="22.5" customHeight="1">
      <c r="A950" s="233"/>
      <c r="B950" s="227"/>
      <c r="C950" s="234"/>
      <c r="D950" s="226"/>
      <c r="E950" s="275"/>
      <c r="F950" s="90"/>
    </row>
    <row r="951" ht="22.5" customHeight="1">
      <c r="A951" s="233"/>
      <c r="B951" s="227"/>
      <c r="C951" s="234"/>
      <c r="D951" s="226"/>
      <c r="E951" s="275"/>
      <c r="F951" s="90"/>
    </row>
    <row r="952" ht="22.5" customHeight="1">
      <c r="A952" s="233"/>
      <c r="B952" s="227"/>
      <c r="C952" s="234"/>
      <c r="D952" s="226"/>
      <c r="E952" s="275"/>
      <c r="F952" s="90"/>
    </row>
    <row r="953" ht="22.5" customHeight="1">
      <c r="A953" s="233"/>
      <c r="B953" s="227"/>
      <c r="C953" s="234"/>
      <c r="D953" s="226"/>
      <c r="E953" s="275"/>
      <c r="F953" s="90"/>
    </row>
    <row r="954" ht="22.5" customHeight="1">
      <c r="A954" s="233"/>
      <c r="B954" s="227"/>
      <c r="C954" s="234"/>
      <c r="D954" s="226"/>
      <c r="E954" s="275"/>
      <c r="F954" s="90"/>
    </row>
    <row r="955" ht="22.5" customHeight="1">
      <c r="A955" s="233"/>
      <c r="B955" s="227"/>
      <c r="C955" s="234"/>
      <c r="D955" s="226"/>
      <c r="E955" s="275"/>
      <c r="F955" s="90"/>
    </row>
    <row r="956" ht="22.5" customHeight="1">
      <c r="A956" s="233"/>
      <c r="B956" s="227"/>
      <c r="C956" s="234"/>
      <c r="D956" s="226"/>
      <c r="E956" s="275"/>
      <c r="F956" s="90"/>
    </row>
    <row r="957" ht="22.5" customHeight="1">
      <c r="A957" s="233"/>
      <c r="B957" s="227"/>
      <c r="C957" s="234"/>
      <c r="D957" s="226"/>
      <c r="E957" s="275"/>
      <c r="F957" s="90"/>
    </row>
    <row r="958" ht="22.5" customHeight="1">
      <c r="A958" s="233"/>
      <c r="B958" s="227"/>
      <c r="C958" s="234"/>
      <c r="D958" s="226"/>
      <c r="E958" s="275"/>
      <c r="F958" s="90"/>
    </row>
    <row r="959" ht="22.5" customHeight="1">
      <c r="A959" s="233"/>
      <c r="B959" s="227"/>
      <c r="C959" s="234"/>
      <c r="D959" s="226"/>
      <c r="E959" s="275"/>
      <c r="F959" s="90"/>
    </row>
    <row r="960" ht="22.5" customHeight="1">
      <c r="A960" s="233"/>
      <c r="B960" s="227"/>
      <c r="C960" s="234"/>
      <c r="D960" s="226"/>
      <c r="E960" s="275"/>
      <c r="F960" s="90"/>
    </row>
    <row r="961" ht="22.5" customHeight="1">
      <c r="A961" s="233"/>
      <c r="B961" s="227"/>
      <c r="C961" s="234"/>
      <c r="D961" s="226"/>
      <c r="E961" s="275"/>
      <c r="F961" s="90"/>
    </row>
    <row r="962" ht="22.5" customHeight="1">
      <c r="A962" s="233"/>
      <c r="B962" s="227"/>
      <c r="C962" s="234"/>
      <c r="D962" s="226"/>
      <c r="E962" s="275"/>
      <c r="F962" s="90"/>
    </row>
    <row r="963" ht="22.5" customHeight="1">
      <c r="A963" s="233"/>
      <c r="B963" s="227"/>
      <c r="C963" s="234"/>
      <c r="D963" s="226"/>
      <c r="E963" s="275"/>
      <c r="F963" s="90"/>
    </row>
    <row r="964" ht="22.5" customHeight="1">
      <c r="A964" s="233"/>
      <c r="B964" s="227"/>
      <c r="C964" s="234"/>
      <c r="D964" s="226"/>
      <c r="E964" s="275"/>
      <c r="F964" s="90"/>
    </row>
    <row r="965" ht="22.5" customHeight="1">
      <c r="A965" s="233"/>
      <c r="B965" s="227"/>
      <c r="C965" s="234"/>
      <c r="D965" s="226"/>
      <c r="E965" s="275"/>
      <c r="F965" s="90"/>
    </row>
    <row r="966" ht="22.5" customHeight="1">
      <c r="A966" s="233"/>
      <c r="B966" s="227"/>
      <c r="C966" s="234"/>
      <c r="D966" s="226"/>
      <c r="E966" s="275"/>
      <c r="F966" s="90"/>
    </row>
    <row r="967" ht="22.5" customHeight="1">
      <c r="A967" s="233"/>
      <c r="B967" s="227"/>
      <c r="C967" s="234"/>
      <c r="D967" s="226"/>
      <c r="E967" s="275"/>
      <c r="F967" s="90"/>
    </row>
    <row r="968" ht="22.5" customHeight="1">
      <c r="A968" s="233"/>
      <c r="B968" s="227"/>
      <c r="C968" s="234"/>
      <c r="D968" s="226"/>
      <c r="E968" s="275"/>
      <c r="F968" s="90"/>
    </row>
    <row r="969" ht="22.5" customHeight="1">
      <c r="A969" s="233"/>
      <c r="B969" s="227"/>
      <c r="C969" s="234"/>
      <c r="D969" s="226"/>
      <c r="E969" s="275"/>
      <c r="F969" s="90"/>
    </row>
    <row r="970" ht="22.5" customHeight="1">
      <c r="A970" s="233"/>
      <c r="B970" s="227"/>
      <c r="C970" s="234"/>
      <c r="D970" s="226"/>
      <c r="E970" s="275"/>
      <c r="F970" s="90"/>
    </row>
    <row r="971" ht="22.5" customHeight="1">
      <c r="A971" s="233"/>
      <c r="B971" s="227"/>
      <c r="C971" s="234"/>
      <c r="D971" s="226"/>
      <c r="E971" s="275"/>
      <c r="F971" s="90"/>
    </row>
    <row r="972" ht="22.5" customHeight="1">
      <c r="A972" s="233"/>
      <c r="B972" s="227"/>
      <c r="C972" s="234"/>
      <c r="D972" s="226"/>
      <c r="E972" s="275"/>
      <c r="F972" s="90"/>
    </row>
    <row r="973" ht="22.5" customHeight="1">
      <c r="A973" s="233"/>
      <c r="B973" s="227"/>
      <c r="C973" s="234"/>
      <c r="D973" s="226"/>
      <c r="E973" s="275"/>
      <c r="F973" s="90"/>
    </row>
    <row r="974" ht="22.5" customHeight="1">
      <c r="A974" s="233"/>
      <c r="B974" s="227"/>
      <c r="C974" s="234"/>
      <c r="D974" s="226"/>
      <c r="E974" s="275"/>
      <c r="F974" s="90"/>
    </row>
    <row r="975" ht="22.5" customHeight="1">
      <c r="A975" s="233"/>
      <c r="B975" s="227"/>
      <c r="C975" s="234"/>
      <c r="D975" s="226"/>
      <c r="E975" s="275"/>
      <c r="F975" s="90"/>
    </row>
    <row r="976" ht="22.5" customHeight="1">
      <c r="A976" s="233"/>
      <c r="B976" s="227"/>
      <c r="C976" s="234"/>
      <c r="D976" s="226"/>
      <c r="E976" s="275"/>
      <c r="F976" s="90"/>
    </row>
    <row r="977" ht="22.5" customHeight="1">
      <c r="A977" s="233"/>
      <c r="B977" s="227"/>
      <c r="C977" s="234"/>
      <c r="D977" s="226"/>
      <c r="E977" s="275"/>
      <c r="F977" s="90"/>
    </row>
    <row r="978" ht="22.5" customHeight="1">
      <c r="A978" s="233"/>
      <c r="B978" s="227"/>
      <c r="C978" s="234"/>
      <c r="D978" s="226"/>
      <c r="E978" s="275"/>
      <c r="F978" s="90"/>
    </row>
    <row r="979" ht="22.5" customHeight="1">
      <c r="A979" s="233"/>
      <c r="B979" s="227"/>
      <c r="C979" s="234"/>
      <c r="D979" s="226"/>
      <c r="E979" s="275"/>
      <c r="F979" s="90"/>
    </row>
    <row r="980" ht="22.5" customHeight="1">
      <c r="A980" s="233"/>
      <c r="B980" s="227"/>
      <c r="C980" s="234"/>
      <c r="D980" s="226"/>
      <c r="E980" s="275"/>
      <c r="F980" s="90"/>
    </row>
    <row r="981" ht="22.5" customHeight="1">
      <c r="A981" s="233"/>
      <c r="B981" s="227"/>
      <c r="C981" s="234"/>
      <c r="D981" s="226"/>
      <c r="E981" s="275"/>
      <c r="F981" s="90"/>
    </row>
    <row r="982" ht="22.5" customHeight="1">
      <c r="A982" s="233"/>
      <c r="B982" s="227"/>
      <c r="C982" s="234"/>
      <c r="D982" s="226"/>
      <c r="E982" s="275"/>
      <c r="F982" s="90"/>
    </row>
    <row r="983" ht="22.5" customHeight="1">
      <c r="A983" s="233"/>
      <c r="B983" s="227"/>
      <c r="C983" s="234"/>
      <c r="D983" s="226"/>
      <c r="E983" s="275"/>
      <c r="F983" s="90"/>
    </row>
    <row r="984" ht="22.5" customHeight="1">
      <c r="A984" s="233"/>
      <c r="B984" s="227"/>
      <c r="C984" s="234"/>
      <c r="D984" s="226"/>
      <c r="E984" s="275"/>
      <c r="F984" s="90"/>
    </row>
    <row r="985" ht="22.5" customHeight="1">
      <c r="A985" s="233"/>
      <c r="B985" s="227"/>
      <c r="C985" s="234"/>
      <c r="D985" s="226"/>
      <c r="E985" s="275"/>
      <c r="F985" s="90"/>
    </row>
    <row r="986" ht="22.5" customHeight="1">
      <c r="A986" s="233"/>
      <c r="B986" s="227"/>
      <c r="C986" s="234"/>
      <c r="D986" s="226"/>
      <c r="E986" s="275"/>
      <c r="F986" s="90"/>
    </row>
    <row r="987" ht="22.5" customHeight="1">
      <c r="A987" s="233"/>
      <c r="B987" s="227"/>
      <c r="C987" s="234"/>
      <c r="D987" s="226"/>
      <c r="E987" s="275"/>
      <c r="F987" s="90"/>
    </row>
    <row r="988" ht="22.5" customHeight="1">
      <c r="A988" s="233"/>
      <c r="B988" s="227"/>
      <c r="C988" s="234"/>
      <c r="D988" s="226"/>
      <c r="E988" s="275"/>
      <c r="F988" s="90"/>
    </row>
    <row r="989" ht="22.5" customHeight="1">
      <c r="A989" s="233"/>
      <c r="B989" s="227"/>
      <c r="C989" s="234"/>
      <c r="D989" s="226"/>
      <c r="E989" s="275"/>
      <c r="F989" s="90"/>
    </row>
    <row r="990" ht="22.5" customHeight="1">
      <c r="A990" s="233"/>
      <c r="B990" s="227"/>
      <c r="C990" s="234"/>
      <c r="D990" s="226"/>
      <c r="E990" s="275"/>
      <c r="F990" s="90"/>
    </row>
    <row r="991" ht="22.5" customHeight="1">
      <c r="A991" s="233"/>
      <c r="B991" s="227"/>
      <c r="C991" s="234"/>
      <c r="D991" s="226"/>
      <c r="E991" s="275"/>
      <c r="F991" s="90"/>
    </row>
    <row r="992" ht="22.5" customHeight="1">
      <c r="A992" s="233"/>
      <c r="B992" s="227"/>
      <c r="C992" s="234"/>
      <c r="D992" s="226"/>
      <c r="E992" s="275"/>
      <c r="F992" s="90"/>
    </row>
    <row r="993" ht="22.5" customHeight="1">
      <c r="A993" s="233"/>
      <c r="B993" s="227"/>
      <c r="C993" s="234"/>
      <c r="D993" s="226"/>
      <c r="E993" s="275"/>
      <c r="F993" s="90"/>
    </row>
    <row r="994" ht="22.5" customHeight="1">
      <c r="A994" s="233"/>
      <c r="B994" s="227"/>
      <c r="C994" s="234"/>
      <c r="D994" s="226"/>
      <c r="E994" s="275"/>
      <c r="F994" s="90"/>
    </row>
    <row r="995" ht="22.5" customHeight="1">
      <c r="A995" s="233"/>
      <c r="B995" s="227"/>
      <c r="C995" s="234"/>
      <c r="D995" s="226"/>
      <c r="E995" s="275"/>
      <c r="F995" s="90"/>
    </row>
    <row r="996" ht="22.5" customHeight="1">
      <c r="A996" s="233"/>
      <c r="B996" s="227"/>
      <c r="C996" s="234"/>
      <c r="D996" s="226"/>
      <c r="E996" s="275"/>
      <c r="F996" s="90"/>
    </row>
    <row r="997" ht="22.5" customHeight="1">
      <c r="A997" s="233"/>
      <c r="B997" s="227"/>
      <c r="C997" s="234"/>
      <c r="D997" s="226"/>
      <c r="E997" s="275"/>
      <c r="F997" s="90"/>
    </row>
    <row r="998" ht="22.5" customHeight="1">
      <c r="A998" s="233"/>
      <c r="B998" s="227"/>
      <c r="C998" s="234"/>
      <c r="D998" s="226"/>
      <c r="E998" s="275"/>
      <c r="F998" s="90"/>
    </row>
    <row r="999" ht="22.5" customHeight="1">
      <c r="A999" s="233"/>
      <c r="B999" s="227"/>
      <c r="C999" s="234"/>
      <c r="D999" s="226"/>
      <c r="E999" s="275"/>
      <c r="F999" s="90"/>
    </row>
    <row r="1000" ht="22.5" customHeight="1">
      <c r="A1000" s="233"/>
      <c r="B1000" s="227"/>
      <c r="C1000" s="234"/>
      <c r="D1000" s="226"/>
      <c r="E1000" s="275"/>
      <c r="F1000" s="90"/>
    </row>
    <row r="1001" ht="22.5" customHeight="1">
      <c r="A1001" s="233"/>
      <c r="B1001" s="227"/>
      <c r="C1001" s="234"/>
      <c r="D1001" s="226"/>
      <c r="E1001" s="275"/>
      <c r="F1001" s="90"/>
    </row>
    <row r="1002" ht="22.5" customHeight="1">
      <c r="A1002" s="233"/>
      <c r="B1002" s="227"/>
      <c r="C1002" s="234"/>
      <c r="D1002" s="226"/>
      <c r="E1002" s="275"/>
      <c r="F1002" s="90"/>
    </row>
    <row r="1003" ht="22.5" customHeight="1">
      <c r="A1003" s="233"/>
      <c r="B1003" s="227"/>
      <c r="C1003" s="234"/>
      <c r="D1003" s="226"/>
      <c r="E1003" s="275"/>
      <c r="F1003" s="90"/>
    </row>
    <row r="1004" ht="22.5" customHeight="1">
      <c r="A1004" s="233"/>
      <c r="B1004" s="227"/>
      <c r="C1004" s="234"/>
      <c r="D1004" s="226"/>
      <c r="E1004" s="275"/>
      <c r="F1004" s="90"/>
    </row>
    <row r="1005" ht="22.5" customHeight="1">
      <c r="A1005" s="233"/>
      <c r="B1005" s="227"/>
      <c r="C1005" s="234"/>
      <c r="D1005" s="226"/>
      <c r="E1005" s="275"/>
      <c r="F1005" s="90"/>
    </row>
    <row r="1006" ht="22.5" customHeight="1">
      <c r="A1006" s="233"/>
      <c r="B1006" s="227"/>
      <c r="C1006" s="234"/>
      <c r="D1006" s="226"/>
      <c r="E1006" s="275"/>
      <c r="F1006" s="90"/>
    </row>
    <row r="1007" ht="22.5" customHeight="1">
      <c r="A1007" s="233"/>
      <c r="B1007" s="227"/>
      <c r="C1007" s="234"/>
      <c r="D1007" s="226"/>
      <c r="E1007" s="275"/>
      <c r="F1007" s="90"/>
    </row>
    <row r="1008" ht="22.5" customHeight="1">
      <c r="A1008" s="233"/>
      <c r="B1008" s="227"/>
      <c r="C1008" s="234"/>
      <c r="D1008" s="226"/>
      <c r="E1008" s="275"/>
      <c r="F1008" s="90"/>
    </row>
    <row r="1009" ht="22.5" customHeight="1">
      <c r="A1009" s="233"/>
      <c r="B1009" s="227"/>
      <c r="C1009" s="234"/>
      <c r="D1009" s="226"/>
      <c r="E1009" s="275"/>
      <c r="F1009" s="90"/>
    </row>
    <row r="1010" ht="22.5" customHeight="1">
      <c r="A1010" s="233"/>
      <c r="B1010" s="227"/>
      <c r="C1010" s="234"/>
      <c r="D1010" s="226"/>
      <c r="E1010" s="275"/>
      <c r="F1010" s="90"/>
    </row>
    <row r="1011" ht="22.5" customHeight="1">
      <c r="A1011" s="233"/>
      <c r="B1011" s="227"/>
      <c r="C1011" s="234"/>
      <c r="D1011" s="226"/>
      <c r="E1011" s="275"/>
      <c r="F1011" s="90"/>
    </row>
    <row r="1012" ht="22.5" customHeight="1">
      <c r="A1012" s="233"/>
      <c r="B1012" s="227"/>
      <c r="C1012" s="234"/>
      <c r="D1012" s="226"/>
      <c r="E1012" s="275"/>
      <c r="F1012" s="90"/>
    </row>
    <row r="1013" ht="22.5" customHeight="1">
      <c r="A1013" s="233"/>
      <c r="B1013" s="227"/>
      <c r="C1013" s="234"/>
      <c r="D1013" s="226"/>
      <c r="E1013" s="275"/>
      <c r="F1013" s="90"/>
    </row>
    <row r="1014" ht="22.5" customHeight="1">
      <c r="A1014" s="233"/>
      <c r="B1014" s="227"/>
      <c r="C1014" s="234"/>
      <c r="D1014" s="226"/>
      <c r="E1014" s="275"/>
      <c r="F1014" s="90"/>
    </row>
    <row r="1015" ht="22.5" customHeight="1">
      <c r="A1015" s="233"/>
      <c r="B1015" s="227"/>
      <c r="C1015" s="234"/>
      <c r="D1015" s="226"/>
      <c r="E1015" s="275"/>
      <c r="F1015" s="90"/>
    </row>
  </sheetData>
  <dataValidations>
    <dataValidation type="list" allowBlank="1" sqref="B2:B1015">
      <formula1>#REF!</formula1>
    </dataValidation>
    <dataValidation type="list" allowBlank="1" sqref="H2">
      <formula1>#REF!</formula1>
    </dataValidation>
    <dataValidation type="custom" allowBlank="1" showDropDown="1" sqref="K2 E2:E1015">
      <formula1>OR(NOT(ISERROR(DATEVALUE(E2))), AND(ISNUMBER(E2), LEFT(CELL("format", E2))="D"))</formula1>
    </dataValidation>
    <dataValidation type="list" allowBlank="1" sqref="I2">
      <formula1>"NOSE,ALQUILER,GASTOS DE LA CASA,LIMPIEZA,PELUQUERIA,ALIMENTACION,BOLUDECES,INTERNET,ROPA,GYM,ARREGLOS,COSAS NECESARIAS,UNI,NAFTA,TRANSPORTE,TARJETA,MOTO,REGALO,PRESTAMO,SALIDA / JUNTADA,MASCOTA,PERDIDO,SALUD"</formula1>
    </dataValidation>
    <dataValidation type="custom" allowBlank="1" showDropDown="1" sqref="G2 A2:A1015">
      <formula1>AND(ISNUMBER(A2),(NOT(OR(NOT(ISERROR(DATEVALUE(A2))), AND(ISNUMBER(A2), LEFT(CELL("format", A2))="D")))))</formula1>
    </dataValidation>
    <dataValidation type="list" allowBlank="1" sqref="C2:C1015">
      <formula1>"NOSE,ALQUILER,GASTOS DE LA CASA,LIMPIEZA,PELUQUERIA,ALIMENTACION,BOLUDECES,INTERNET,ROPA,GYM,ARREGLOS,COSAS NECESARIAS,UNI,NAFTA,TRANSPORTE,TARJETA,MOTO,REGALO,PRESTAMO"</formula1>
    </dataValidation>
  </dataValidations>
  <drawing r:id="rId1"/>
  <tableParts count="2">
    <tablePart r:id="rId4"/>
    <tablePart r:id="rId5"/>
  </tableParts>
  <extLst>
    <ext uri="{3A4CF648-6AED-40f4-86FF-DC5316D8AED3}">
      <x14:slicerList>
        <x14:slicer r:id="rId6"/>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2" max="4" width="22.63"/>
    <col customWidth="1" min="5" max="5" width="17.5"/>
    <col customWidth="1" min="6" max="6" width="4.0"/>
    <col customWidth="1" min="7" max="7" width="14.0"/>
    <col customWidth="1" min="8" max="10" width="22.13"/>
    <col customWidth="1" min="11" max="11" width="17.38"/>
  </cols>
  <sheetData>
    <row r="1" ht="36.75" customHeight="1">
      <c r="A1" s="206" t="s">
        <v>1</v>
      </c>
      <c r="B1" s="206" t="s">
        <v>614</v>
      </c>
      <c r="C1" s="206" t="s">
        <v>615</v>
      </c>
      <c r="D1" s="206" t="s">
        <v>118</v>
      </c>
      <c r="E1" s="206" t="s">
        <v>119</v>
      </c>
      <c r="F1" s="90"/>
      <c r="G1" s="206" t="s">
        <v>1</v>
      </c>
      <c r="H1" s="206" t="s">
        <v>614</v>
      </c>
      <c r="I1" s="206" t="s">
        <v>615</v>
      </c>
      <c r="J1" s="206" t="s">
        <v>118</v>
      </c>
      <c r="K1" s="206" t="s">
        <v>119</v>
      </c>
    </row>
    <row r="2" ht="22.5" customHeight="1">
      <c r="A2" s="221">
        <v>10000.0</v>
      </c>
      <c r="B2" s="238" t="s">
        <v>15</v>
      </c>
      <c r="C2" s="238" t="s">
        <v>26</v>
      </c>
      <c r="D2" s="223" t="s">
        <v>616</v>
      </c>
      <c r="E2" s="226"/>
      <c r="F2" s="90"/>
      <c r="G2" s="207"/>
      <c r="H2" s="276"/>
      <c r="I2" s="276"/>
      <c r="J2" s="220"/>
      <c r="K2" s="217"/>
    </row>
    <row r="3" ht="22.5" customHeight="1">
      <c r="A3" s="221">
        <v>2000.0</v>
      </c>
      <c r="B3" s="225" t="s">
        <v>26</v>
      </c>
      <c r="C3" s="225" t="s">
        <v>15</v>
      </c>
      <c r="D3" s="223" t="s">
        <v>617</v>
      </c>
      <c r="E3" s="226"/>
      <c r="F3" s="90"/>
    </row>
    <row r="4" ht="22.5" customHeight="1">
      <c r="A4" s="221">
        <v>2000.0</v>
      </c>
      <c r="B4" s="225" t="s">
        <v>15</v>
      </c>
      <c r="C4" s="225" t="s">
        <v>26</v>
      </c>
      <c r="D4" s="226"/>
      <c r="E4" s="226"/>
      <c r="F4" s="90"/>
    </row>
    <row r="5" ht="22.5" customHeight="1">
      <c r="A5" s="221">
        <v>13000.0</v>
      </c>
      <c r="B5" s="225" t="s">
        <v>15</v>
      </c>
      <c r="C5" s="225" t="s">
        <v>26</v>
      </c>
      <c r="D5" s="223" t="s">
        <v>618</v>
      </c>
      <c r="E5" s="277">
        <v>45825.0</v>
      </c>
      <c r="F5" s="90"/>
    </row>
    <row r="6" ht="22.5" customHeight="1">
      <c r="A6" s="278">
        <v>20000.0</v>
      </c>
      <c r="B6" s="225" t="s">
        <v>15</v>
      </c>
      <c r="C6" s="225" t="s">
        <v>35</v>
      </c>
      <c r="D6" s="223" t="s">
        <v>619</v>
      </c>
      <c r="E6" s="277">
        <v>45907.0</v>
      </c>
      <c r="F6" s="90"/>
    </row>
    <row r="7" ht="22.5" customHeight="1">
      <c r="A7" s="233"/>
      <c r="B7" s="227"/>
      <c r="C7" s="227"/>
      <c r="D7" s="226"/>
      <c r="E7" s="226"/>
      <c r="F7" s="90"/>
    </row>
    <row r="8" ht="22.5" customHeight="1">
      <c r="A8" s="233"/>
      <c r="B8" s="227"/>
      <c r="C8" s="227"/>
      <c r="D8" s="226"/>
      <c r="E8" s="226"/>
      <c r="F8" s="90"/>
    </row>
    <row r="9" ht="22.5" customHeight="1">
      <c r="A9" s="233"/>
      <c r="B9" s="227"/>
      <c r="C9" s="227"/>
      <c r="D9" s="226"/>
      <c r="E9" s="226"/>
      <c r="F9" s="90"/>
    </row>
    <row r="10" ht="22.5" customHeight="1">
      <c r="A10" s="233"/>
      <c r="B10" s="227"/>
      <c r="C10" s="227"/>
      <c r="D10" s="226"/>
      <c r="E10" s="226"/>
      <c r="F10" s="90"/>
    </row>
    <row r="11" ht="22.5" customHeight="1">
      <c r="A11" s="233"/>
      <c r="B11" s="227"/>
      <c r="C11" s="227"/>
      <c r="D11" s="226"/>
      <c r="E11" s="226"/>
      <c r="F11" s="90"/>
    </row>
    <row r="12" ht="22.5" customHeight="1">
      <c r="A12" s="233"/>
      <c r="B12" s="227"/>
      <c r="C12" s="227"/>
      <c r="D12" s="226"/>
      <c r="E12" s="226"/>
      <c r="F12" s="90"/>
    </row>
    <row r="13" ht="22.5" customHeight="1">
      <c r="A13" s="233"/>
      <c r="B13" s="227"/>
      <c r="C13" s="227"/>
      <c r="D13" s="226"/>
      <c r="E13" s="226"/>
      <c r="F13" s="90"/>
    </row>
    <row r="14" ht="22.5" customHeight="1">
      <c r="A14" s="233"/>
      <c r="B14" s="227"/>
      <c r="C14" s="227"/>
      <c r="D14" s="226"/>
      <c r="E14" s="226"/>
      <c r="F14" s="90"/>
    </row>
    <row r="15" ht="22.5" customHeight="1">
      <c r="A15" s="233"/>
      <c r="B15" s="227"/>
      <c r="C15" s="227"/>
      <c r="D15" s="226"/>
      <c r="E15" s="226"/>
      <c r="F15" s="90"/>
    </row>
    <row r="16" ht="22.5" customHeight="1">
      <c r="A16" s="233"/>
      <c r="B16" s="227"/>
      <c r="C16" s="227"/>
      <c r="D16" s="226"/>
      <c r="E16" s="226"/>
      <c r="F16" s="90"/>
    </row>
    <row r="17" ht="22.5" customHeight="1">
      <c r="A17" s="233"/>
      <c r="B17" s="227"/>
      <c r="C17" s="227"/>
      <c r="D17" s="226"/>
      <c r="E17" s="226"/>
      <c r="F17" s="90"/>
    </row>
    <row r="18" ht="22.5" customHeight="1">
      <c r="A18" s="233"/>
      <c r="B18" s="227"/>
      <c r="C18" s="227"/>
      <c r="D18" s="226"/>
      <c r="E18" s="226"/>
      <c r="F18" s="90"/>
    </row>
    <row r="19" ht="22.5" customHeight="1">
      <c r="A19" s="233"/>
      <c r="B19" s="227"/>
      <c r="C19" s="227"/>
      <c r="D19" s="226"/>
      <c r="E19" s="226"/>
      <c r="F19" s="90"/>
    </row>
    <row r="20" ht="22.5" customHeight="1">
      <c r="A20" s="233"/>
      <c r="B20" s="227"/>
      <c r="C20" s="227"/>
      <c r="D20" s="226"/>
      <c r="E20" s="226"/>
      <c r="F20" s="90"/>
    </row>
    <row r="21" ht="22.5" customHeight="1">
      <c r="A21" s="233"/>
      <c r="B21" s="227"/>
      <c r="C21" s="227"/>
      <c r="D21" s="226"/>
      <c r="E21" s="226"/>
      <c r="F21" s="90"/>
    </row>
    <row r="22" ht="22.5" customHeight="1">
      <c r="A22" s="233"/>
      <c r="B22" s="227"/>
      <c r="C22" s="227"/>
      <c r="D22" s="226"/>
      <c r="E22" s="226"/>
      <c r="F22" s="90"/>
    </row>
    <row r="23" ht="22.5" customHeight="1">
      <c r="A23" s="233"/>
      <c r="B23" s="227"/>
      <c r="C23" s="227"/>
      <c r="D23" s="226"/>
      <c r="E23" s="226"/>
      <c r="F23" s="90"/>
    </row>
    <row r="24" ht="22.5" customHeight="1">
      <c r="A24" s="233"/>
      <c r="B24" s="227"/>
      <c r="C24" s="227"/>
      <c r="D24" s="226"/>
      <c r="E24" s="226"/>
      <c r="F24" s="90"/>
    </row>
    <row r="25" ht="22.5" customHeight="1">
      <c r="A25" s="233"/>
      <c r="B25" s="227"/>
      <c r="C25" s="227"/>
      <c r="D25" s="226"/>
      <c r="E25" s="226"/>
      <c r="F25" s="90"/>
    </row>
    <row r="26" ht="22.5" customHeight="1">
      <c r="A26" s="233"/>
      <c r="B26" s="227"/>
      <c r="C26" s="227"/>
      <c r="D26" s="226"/>
      <c r="E26" s="226"/>
      <c r="F26" s="90"/>
    </row>
    <row r="27" ht="22.5" customHeight="1">
      <c r="A27" s="233"/>
      <c r="B27" s="227"/>
      <c r="C27" s="227"/>
      <c r="D27" s="226"/>
      <c r="E27" s="226"/>
      <c r="F27" s="90"/>
    </row>
    <row r="28" ht="22.5" customHeight="1">
      <c r="A28" s="233"/>
      <c r="B28" s="227"/>
      <c r="C28" s="227"/>
      <c r="D28" s="226"/>
      <c r="E28" s="226"/>
      <c r="F28" s="90"/>
    </row>
    <row r="29" ht="22.5" customHeight="1">
      <c r="A29" s="233"/>
      <c r="B29" s="227"/>
      <c r="C29" s="227"/>
      <c r="D29" s="226"/>
      <c r="E29" s="226"/>
      <c r="F29" s="90"/>
    </row>
    <row r="30" ht="22.5" customHeight="1">
      <c r="A30" s="233"/>
      <c r="B30" s="227"/>
      <c r="C30" s="227"/>
      <c r="D30" s="226"/>
      <c r="E30" s="226"/>
      <c r="F30" s="90"/>
    </row>
    <row r="31" ht="22.5" customHeight="1">
      <c r="A31" s="233"/>
      <c r="B31" s="227"/>
      <c r="C31" s="227"/>
      <c r="D31" s="226"/>
      <c r="E31" s="226"/>
      <c r="F31" s="90"/>
    </row>
    <row r="32" ht="22.5" customHeight="1">
      <c r="A32" s="233"/>
      <c r="B32" s="227"/>
      <c r="C32" s="227"/>
      <c r="D32" s="226"/>
      <c r="E32" s="226"/>
      <c r="F32" s="90"/>
    </row>
    <row r="33" ht="22.5" customHeight="1">
      <c r="A33" s="233"/>
      <c r="B33" s="227"/>
      <c r="C33" s="227"/>
      <c r="D33" s="226"/>
      <c r="E33" s="226"/>
      <c r="F33" s="90"/>
    </row>
    <row r="34" ht="22.5" customHeight="1">
      <c r="A34" s="233"/>
      <c r="B34" s="227"/>
      <c r="C34" s="227"/>
      <c r="D34" s="226"/>
      <c r="E34" s="226"/>
      <c r="F34" s="90"/>
    </row>
    <row r="35" ht="22.5" customHeight="1">
      <c r="A35" s="233"/>
      <c r="B35" s="227"/>
      <c r="C35" s="227"/>
      <c r="D35" s="226"/>
      <c r="E35" s="226"/>
      <c r="F35" s="90"/>
    </row>
    <row r="36" ht="22.5" customHeight="1">
      <c r="A36" s="233"/>
      <c r="B36" s="227"/>
      <c r="C36" s="227"/>
      <c r="D36" s="226"/>
      <c r="E36" s="226"/>
      <c r="F36" s="90"/>
    </row>
    <row r="37" ht="22.5" customHeight="1">
      <c r="A37" s="233"/>
      <c r="B37" s="227"/>
      <c r="C37" s="227"/>
      <c r="D37" s="226"/>
      <c r="E37" s="226"/>
      <c r="F37" s="90"/>
    </row>
    <row r="38" ht="22.5" customHeight="1">
      <c r="A38" s="233"/>
      <c r="B38" s="227"/>
      <c r="C38" s="227"/>
      <c r="D38" s="226"/>
      <c r="E38" s="226"/>
      <c r="F38" s="90"/>
    </row>
    <row r="39" ht="22.5" customHeight="1">
      <c r="A39" s="233"/>
      <c r="B39" s="227"/>
      <c r="C39" s="227"/>
      <c r="D39" s="226"/>
      <c r="E39" s="226"/>
      <c r="F39" s="90"/>
    </row>
    <row r="40" ht="22.5" customHeight="1">
      <c r="A40" s="233"/>
      <c r="B40" s="227"/>
      <c r="C40" s="227"/>
      <c r="D40" s="226"/>
      <c r="E40" s="226"/>
      <c r="F40" s="90"/>
    </row>
    <row r="41" ht="22.5" customHeight="1">
      <c r="A41" s="233"/>
      <c r="B41" s="227"/>
      <c r="C41" s="227"/>
      <c r="D41" s="226"/>
      <c r="E41" s="226"/>
      <c r="F41" s="90"/>
    </row>
    <row r="42" ht="22.5" customHeight="1">
      <c r="A42" s="233"/>
      <c r="B42" s="227"/>
      <c r="C42" s="227"/>
      <c r="D42" s="226"/>
      <c r="E42" s="226"/>
      <c r="F42" s="90"/>
    </row>
    <row r="43" ht="22.5" customHeight="1">
      <c r="A43" s="233"/>
      <c r="B43" s="227"/>
      <c r="C43" s="227"/>
      <c r="D43" s="226"/>
      <c r="E43" s="226"/>
      <c r="F43" s="90"/>
    </row>
    <row r="44" ht="22.5" customHeight="1">
      <c r="A44" s="233"/>
      <c r="B44" s="227"/>
      <c r="C44" s="227"/>
      <c r="D44" s="226"/>
      <c r="E44" s="226"/>
      <c r="F44" s="90"/>
    </row>
    <row r="45" ht="22.5" customHeight="1">
      <c r="A45" s="233"/>
      <c r="B45" s="227"/>
      <c r="C45" s="227"/>
      <c r="D45" s="226"/>
      <c r="E45" s="226"/>
      <c r="F45" s="90"/>
    </row>
    <row r="46" ht="22.5" customHeight="1">
      <c r="A46" s="233"/>
      <c r="B46" s="227"/>
      <c r="C46" s="227"/>
      <c r="D46" s="226"/>
      <c r="E46" s="226"/>
      <c r="F46" s="90"/>
    </row>
    <row r="47" ht="22.5" customHeight="1">
      <c r="A47" s="233"/>
      <c r="B47" s="227"/>
      <c r="C47" s="227"/>
      <c r="D47" s="226"/>
      <c r="E47" s="226"/>
      <c r="F47" s="90"/>
    </row>
    <row r="48" ht="22.5" customHeight="1">
      <c r="A48" s="233"/>
      <c r="B48" s="227"/>
      <c r="C48" s="227"/>
      <c r="D48" s="226"/>
      <c r="E48" s="226"/>
      <c r="F48" s="90"/>
    </row>
    <row r="49" ht="22.5" customHeight="1">
      <c r="A49" s="233"/>
      <c r="B49" s="227"/>
      <c r="C49" s="227"/>
      <c r="D49" s="226"/>
      <c r="E49" s="226"/>
      <c r="F49" s="90"/>
    </row>
    <row r="50" ht="22.5" customHeight="1">
      <c r="A50" s="233"/>
      <c r="B50" s="227"/>
      <c r="C50" s="227"/>
      <c r="D50" s="226"/>
      <c r="E50" s="226"/>
      <c r="F50" s="90"/>
    </row>
    <row r="51" ht="22.5" customHeight="1">
      <c r="A51" s="233"/>
      <c r="B51" s="227"/>
      <c r="C51" s="227"/>
      <c r="D51" s="226"/>
      <c r="E51" s="226"/>
      <c r="F51" s="90"/>
    </row>
    <row r="52" ht="22.5" customHeight="1">
      <c r="A52" s="233"/>
      <c r="B52" s="227"/>
      <c r="C52" s="227"/>
      <c r="D52" s="226"/>
      <c r="E52" s="226"/>
      <c r="F52" s="90"/>
    </row>
    <row r="53" ht="22.5" customHeight="1">
      <c r="A53" s="233"/>
      <c r="B53" s="227"/>
      <c r="C53" s="227"/>
      <c r="D53" s="226"/>
      <c r="E53" s="226"/>
      <c r="F53" s="90"/>
    </row>
    <row r="54" ht="22.5" customHeight="1">
      <c r="A54" s="233"/>
      <c r="B54" s="227"/>
      <c r="C54" s="227"/>
      <c r="D54" s="226"/>
      <c r="E54" s="226"/>
      <c r="F54" s="90"/>
    </row>
    <row r="55" ht="22.5" customHeight="1">
      <c r="A55" s="233"/>
      <c r="B55" s="227"/>
      <c r="C55" s="227"/>
      <c r="D55" s="226"/>
      <c r="E55" s="226"/>
      <c r="F55" s="90"/>
    </row>
    <row r="56" ht="22.5" customHeight="1">
      <c r="A56" s="233"/>
      <c r="B56" s="227"/>
      <c r="C56" s="227"/>
      <c r="D56" s="226"/>
      <c r="E56" s="226"/>
      <c r="F56" s="90"/>
    </row>
    <row r="57" ht="22.5" customHeight="1">
      <c r="A57" s="233"/>
      <c r="B57" s="227"/>
      <c r="C57" s="227"/>
      <c r="D57" s="226"/>
      <c r="E57" s="226"/>
      <c r="F57" s="90"/>
    </row>
    <row r="58" ht="22.5" customHeight="1">
      <c r="A58" s="233"/>
      <c r="B58" s="227"/>
      <c r="C58" s="227"/>
      <c r="D58" s="226"/>
      <c r="E58" s="226"/>
      <c r="F58" s="90"/>
    </row>
    <row r="59" ht="22.5" customHeight="1">
      <c r="A59" s="233"/>
      <c r="B59" s="227"/>
      <c r="C59" s="227"/>
      <c r="D59" s="226"/>
      <c r="E59" s="226"/>
      <c r="F59" s="90"/>
    </row>
    <row r="60" ht="22.5" customHeight="1">
      <c r="A60" s="233"/>
      <c r="B60" s="227"/>
      <c r="C60" s="227"/>
      <c r="D60" s="226"/>
      <c r="E60" s="226"/>
      <c r="F60" s="90"/>
    </row>
    <row r="61" ht="22.5" customHeight="1">
      <c r="A61" s="233"/>
      <c r="B61" s="227"/>
      <c r="C61" s="227"/>
      <c r="D61" s="226"/>
      <c r="E61" s="226"/>
      <c r="F61" s="90"/>
    </row>
    <row r="62" ht="22.5" customHeight="1">
      <c r="A62" s="233"/>
      <c r="B62" s="227"/>
      <c r="C62" s="227"/>
      <c r="D62" s="226"/>
      <c r="E62" s="226"/>
      <c r="F62" s="90"/>
    </row>
    <row r="63" ht="22.5" customHeight="1">
      <c r="A63" s="233"/>
      <c r="B63" s="227"/>
      <c r="C63" s="227"/>
      <c r="D63" s="226"/>
      <c r="E63" s="226"/>
      <c r="F63" s="90"/>
    </row>
    <row r="64" ht="22.5" customHeight="1">
      <c r="A64" s="233"/>
      <c r="B64" s="227"/>
      <c r="C64" s="227"/>
      <c r="D64" s="226"/>
      <c r="E64" s="226"/>
      <c r="F64" s="90"/>
    </row>
    <row r="65" ht="22.5" customHeight="1">
      <c r="A65" s="233"/>
      <c r="B65" s="227"/>
      <c r="C65" s="227"/>
      <c r="D65" s="226"/>
      <c r="E65" s="226"/>
      <c r="F65" s="90"/>
    </row>
    <row r="66" ht="22.5" customHeight="1">
      <c r="A66" s="233"/>
      <c r="B66" s="227"/>
      <c r="C66" s="227"/>
      <c r="D66" s="226"/>
      <c r="E66" s="226"/>
      <c r="F66" s="90"/>
    </row>
    <row r="67" ht="22.5" customHeight="1">
      <c r="A67" s="233"/>
      <c r="B67" s="227"/>
      <c r="C67" s="227"/>
      <c r="D67" s="226"/>
      <c r="E67" s="226"/>
      <c r="F67" s="90"/>
    </row>
    <row r="68" ht="22.5" customHeight="1">
      <c r="A68" s="233"/>
      <c r="B68" s="227"/>
      <c r="C68" s="227"/>
      <c r="D68" s="226"/>
      <c r="E68" s="226"/>
      <c r="F68" s="90"/>
    </row>
    <row r="69" ht="22.5" customHeight="1">
      <c r="A69" s="233"/>
      <c r="B69" s="227"/>
      <c r="C69" s="227"/>
      <c r="D69" s="226"/>
      <c r="E69" s="226"/>
      <c r="F69" s="90"/>
    </row>
    <row r="70" ht="22.5" customHeight="1">
      <c r="A70" s="233"/>
      <c r="B70" s="227"/>
      <c r="C70" s="227"/>
      <c r="D70" s="226"/>
      <c r="E70" s="226"/>
      <c r="F70" s="90"/>
    </row>
    <row r="71" ht="22.5" customHeight="1">
      <c r="A71" s="233"/>
      <c r="B71" s="227"/>
      <c r="C71" s="227"/>
      <c r="D71" s="226"/>
      <c r="E71" s="226"/>
      <c r="F71" s="90"/>
    </row>
    <row r="72" ht="22.5" customHeight="1">
      <c r="A72" s="233"/>
      <c r="B72" s="227"/>
      <c r="C72" s="227"/>
      <c r="D72" s="226"/>
      <c r="E72" s="226"/>
      <c r="F72" s="90"/>
    </row>
    <row r="73" ht="22.5" customHeight="1">
      <c r="A73" s="233"/>
      <c r="B73" s="227"/>
      <c r="C73" s="227"/>
      <c r="D73" s="226"/>
      <c r="E73" s="226"/>
      <c r="F73" s="90"/>
    </row>
    <row r="74" ht="22.5" customHeight="1">
      <c r="A74" s="233"/>
      <c r="B74" s="227"/>
      <c r="C74" s="227"/>
      <c r="D74" s="226"/>
      <c r="E74" s="226"/>
      <c r="F74" s="90"/>
    </row>
    <row r="75" ht="22.5" customHeight="1">
      <c r="A75" s="233"/>
      <c r="B75" s="227"/>
      <c r="C75" s="227"/>
      <c r="D75" s="226"/>
      <c r="E75" s="226"/>
      <c r="F75" s="90"/>
    </row>
    <row r="76" ht="22.5" customHeight="1">
      <c r="A76" s="233"/>
      <c r="B76" s="227"/>
      <c r="C76" s="227"/>
      <c r="D76" s="226"/>
      <c r="E76" s="226"/>
      <c r="F76" s="90"/>
    </row>
    <row r="77" ht="22.5" customHeight="1">
      <c r="A77" s="233"/>
      <c r="B77" s="227"/>
      <c r="C77" s="227"/>
      <c r="D77" s="226"/>
      <c r="E77" s="226"/>
      <c r="F77" s="90"/>
    </row>
    <row r="78" ht="22.5" customHeight="1">
      <c r="A78" s="233"/>
      <c r="B78" s="227"/>
      <c r="C78" s="227"/>
      <c r="D78" s="226"/>
      <c r="E78" s="226"/>
      <c r="F78" s="90"/>
    </row>
    <row r="79" ht="22.5" customHeight="1">
      <c r="A79" s="233"/>
      <c r="B79" s="227"/>
      <c r="C79" s="227"/>
      <c r="D79" s="226"/>
      <c r="E79" s="226"/>
      <c r="F79" s="90"/>
    </row>
    <row r="80" ht="22.5" customHeight="1">
      <c r="A80" s="233"/>
      <c r="B80" s="227"/>
      <c r="C80" s="227"/>
      <c r="D80" s="226"/>
      <c r="E80" s="226"/>
      <c r="F80" s="90"/>
    </row>
    <row r="81" ht="22.5" customHeight="1">
      <c r="A81" s="233"/>
      <c r="B81" s="227"/>
      <c r="C81" s="227"/>
      <c r="D81" s="226"/>
      <c r="E81" s="226"/>
      <c r="F81" s="90"/>
    </row>
    <row r="82" ht="22.5" customHeight="1">
      <c r="A82" s="233"/>
      <c r="B82" s="227"/>
      <c r="C82" s="227"/>
      <c r="D82" s="226"/>
      <c r="E82" s="226"/>
      <c r="F82" s="90"/>
    </row>
    <row r="83" ht="22.5" customHeight="1">
      <c r="A83" s="233"/>
      <c r="B83" s="227"/>
      <c r="C83" s="227"/>
      <c r="D83" s="226"/>
      <c r="E83" s="226"/>
      <c r="F83" s="90"/>
    </row>
    <row r="84" ht="22.5" customHeight="1">
      <c r="A84" s="233"/>
      <c r="B84" s="227"/>
      <c r="C84" s="227"/>
      <c r="D84" s="226"/>
      <c r="E84" s="226"/>
      <c r="F84" s="90"/>
    </row>
    <row r="85" ht="22.5" customHeight="1">
      <c r="A85" s="233"/>
      <c r="B85" s="227"/>
      <c r="C85" s="227"/>
      <c r="D85" s="226"/>
      <c r="E85" s="226"/>
      <c r="F85" s="90"/>
    </row>
    <row r="86" ht="22.5" customHeight="1">
      <c r="A86" s="233"/>
      <c r="B86" s="227"/>
      <c r="C86" s="227"/>
      <c r="D86" s="226"/>
      <c r="E86" s="226"/>
      <c r="F86" s="90"/>
    </row>
    <row r="87" ht="22.5" customHeight="1">
      <c r="A87" s="233"/>
      <c r="B87" s="227"/>
      <c r="C87" s="227"/>
      <c r="D87" s="226"/>
      <c r="E87" s="226"/>
      <c r="F87" s="90"/>
    </row>
    <row r="88" ht="22.5" customHeight="1">
      <c r="A88" s="233"/>
      <c r="B88" s="227"/>
      <c r="C88" s="227"/>
      <c r="D88" s="226"/>
      <c r="E88" s="226"/>
      <c r="F88" s="90"/>
    </row>
    <row r="89" ht="22.5" customHeight="1">
      <c r="A89" s="233"/>
      <c r="B89" s="227"/>
      <c r="C89" s="227"/>
      <c r="D89" s="226"/>
      <c r="E89" s="226"/>
      <c r="F89" s="90"/>
    </row>
    <row r="90" ht="22.5" customHeight="1">
      <c r="A90" s="233"/>
      <c r="B90" s="227"/>
      <c r="C90" s="227"/>
      <c r="D90" s="226"/>
      <c r="E90" s="226"/>
      <c r="F90" s="90"/>
    </row>
    <row r="91" ht="22.5" customHeight="1">
      <c r="A91" s="233"/>
      <c r="B91" s="227"/>
      <c r="C91" s="227"/>
      <c r="D91" s="226"/>
      <c r="E91" s="226"/>
      <c r="F91" s="90"/>
    </row>
    <row r="92" ht="22.5" customHeight="1">
      <c r="A92" s="233"/>
      <c r="B92" s="227"/>
      <c r="C92" s="227"/>
      <c r="D92" s="226"/>
      <c r="E92" s="226"/>
      <c r="F92" s="90"/>
    </row>
    <row r="93" ht="22.5" customHeight="1">
      <c r="A93" s="233"/>
      <c r="B93" s="227"/>
      <c r="C93" s="227"/>
      <c r="D93" s="226"/>
      <c r="E93" s="226"/>
      <c r="F93" s="90"/>
    </row>
    <row r="94" ht="22.5" customHeight="1">
      <c r="A94" s="233"/>
      <c r="B94" s="227"/>
      <c r="C94" s="227"/>
      <c r="D94" s="226"/>
      <c r="E94" s="226"/>
      <c r="F94" s="90"/>
    </row>
    <row r="95" ht="22.5" customHeight="1">
      <c r="A95" s="233"/>
      <c r="B95" s="227"/>
      <c r="C95" s="227"/>
      <c r="D95" s="226"/>
      <c r="E95" s="226"/>
      <c r="F95" s="90"/>
    </row>
    <row r="96" ht="22.5" customHeight="1">
      <c r="A96" s="233"/>
      <c r="B96" s="227"/>
      <c r="C96" s="227"/>
      <c r="D96" s="226"/>
      <c r="E96" s="226"/>
      <c r="F96" s="90"/>
    </row>
    <row r="97" ht="22.5" customHeight="1">
      <c r="A97" s="233"/>
      <c r="B97" s="227"/>
      <c r="C97" s="227"/>
      <c r="D97" s="226"/>
      <c r="E97" s="226"/>
      <c r="F97" s="90"/>
    </row>
    <row r="98" ht="22.5" customHeight="1">
      <c r="A98" s="233"/>
      <c r="B98" s="227"/>
      <c r="C98" s="227"/>
      <c r="D98" s="226"/>
      <c r="E98" s="226"/>
      <c r="F98" s="90"/>
    </row>
    <row r="99" ht="22.5" customHeight="1">
      <c r="A99" s="233"/>
      <c r="B99" s="227"/>
      <c r="C99" s="227"/>
      <c r="D99" s="226"/>
      <c r="E99" s="226"/>
      <c r="F99" s="90"/>
    </row>
    <row r="100" ht="22.5" customHeight="1">
      <c r="A100" s="233"/>
      <c r="B100" s="227"/>
      <c r="C100" s="227"/>
      <c r="D100" s="226"/>
      <c r="E100" s="226"/>
      <c r="F100" s="90"/>
    </row>
    <row r="101" ht="22.5" customHeight="1">
      <c r="A101" s="233"/>
      <c r="B101" s="227"/>
      <c r="C101" s="227"/>
      <c r="D101" s="226"/>
      <c r="E101" s="226"/>
      <c r="F101" s="90"/>
    </row>
    <row r="102" ht="22.5" customHeight="1">
      <c r="A102" s="233"/>
      <c r="B102" s="227"/>
      <c r="C102" s="227"/>
      <c r="D102" s="226"/>
      <c r="E102" s="226"/>
      <c r="F102" s="90"/>
    </row>
    <row r="103" ht="22.5" customHeight="1">
      <c r="A103" s="233"/>
      <c r="B103" s="227"/>
      <c r="C103" s="227"/>
      <c r="D103" s="226"/>
      <c r="E103" s="226"/>
      <c r="F103" s="90"/>
    </row>
    <row r="104" ht="22.5" customHeight="1">
      <c r="A104" s="233"/>
      <c r="B104" s="227"/>
      <c r="C104" s="227"/>
      <c r="D104" s="226"/>
      <c r="E104" s="226"/>
      <c r="F104" s="90"/>
    </row>
    <row r="105" ht="22.5" customHeight="1">
      <c r="A105" s="233"/>
      <c r="B105" s="227"/>
      <c r="C105" s="227"/>
      <c r="D105" s="226"/>
      <c r="E105" s="226"/>
      <c r="F105" s="90"/>
    </row>
    <row r="106" ht="22.5" customHeight="1">
      <c r="A106" s="233"/>
      <c r="B106" s="227"/>
      <c r="C106" s="227"/>
      <c r="D106" s="226"/>
      <c r="E106" s="226"/>
      <c r="F106" s="90"/>
    </row>
    <row r="107" ht="22.5" customHeight="1">
      <c r="A107" s="233"/>
      <c r="B107" s="227"/>
      <c r="C107" s="227"/>
      <c r="D107" s="226"/>
      <c r="E107" s="226"/>
      <c r="F107" s="90"/>
    </row>
    <row r="108" ht="22.5" customHeight="1">
      <c r="A108" s="233"/>
      <c r="B108" s="227"/>
      <c r="C108" s="227"/>
      <c r="D108" s="226"/>
      <c r="E108" s="226"/>
      <c r="F108" s="90"/>
    </row>
    <row r="109" ht="22.5" customHeight="1">
      <c r="A109" s="233"/>
      <c r="B109" s="227"/>
      <c r="C109" s="227"/>
      <c r="D109" s="226"/>
      <c r="E109" s="226"/>
      <c r="F109" s="90"/>
    </row>
    <row r="110" ht="22.5" customHeight="1">
      <c r="A110" s="233"/>
      <c r="B110" s="227"/>
      <c r="C110" s="227"/>
      <c r="D110" s="226"/>
      <c r="E110" s="226"/>
      <c r="F110" s="90"/>
    </row>
    <row r="111" ht="22.5" customHeight="1">
      <c r="A111" s="233"/>
      <c r="B111" s="227"/>
      <c r="C111" s="227"/>
      <c r="D111" s="226"/>
      <c r="E111" s="226"/>
      <c r="F111" s="90"/>
    </row>
    <row r="112" ht="22.5" customHeight="1">
      <c r="A112" s="233"/>
      <c r="B112" s="227"/>
      <c r="C112" s="227"/>
      <c r="D112" s="226"/>
      <c r="E112" s="226"/>
      <c r="F112" s="90"/>
    </row>
    <row r="113" ht="22.5" customHeight="1">
      <c r="A113" s="233"/>
      <c r="B113" s="227"/>
      <c r="C113" s="227"/>
      <c r="D113" s="226"/>
      <c r="E113" s="226"/>
      <c r="F113" s="90"/>
    </row>
    <row r="114" ht="22.5" customHeight="1">
      <c r="A114" s="233"/>
      <c r="B114" s="227"/>
      <c r="C114" s="227"/>
      <c r="D114" s="226"/>
      <c r="E114" s="226"/>
      <c r="F114" s="90"/>
    </row>
    <row r="115" ht="22.5" customHeight="1">
      <c r="A115" s="233"/>
      <c r="B115" s="227"/>
      <c r="C115" s="227"/>
      <c r="D115" s="226"/>
      <c r="E115" s="226"/>
      <c r="F115" s="90"/>
    </row>
    <row r="116" ht="22.5" customHeight="1">
      <c r="A116" s="233"/>
      <c r="B116" s="227"/>
      <c r="C116" s="227"/>
      <c r="D116" s="226"/>
      <c r="E116" s="226"/>
      <c r="F116" s="90"/>
    </row>
    <row r="117" ht="22.5" customHeight="1">
      <c r="A117" s="233"/>
      <c r="B117" s="227"/>
      <c r="C117" s="227"/>
      <c r="D117" s="226"/>
      <c r="E117" s="226"/>
      <c r="F117" s="90"/>
    </row>
    <row r="118" ht="22.5" customHeight="1">
      <c r="A118" s="233"/>
      <c r="B118" s="227"/>
      <c r="C118" s="227"/>
      <c r="D118" s="226"/>
      <c r="E118" s="226"/>
      <c r="F118" s="90"/>
    </row>
    <row r="119" ht="22.5" customHeight="1">
      <c r="A119" s="233"/>
      <c r="B119" s="227"/>
      <c r="C119" s="227"/>
      <c r="D119" s="226"/>
      <c r="E119" s="226"/>
      <c r="F119" s="90"/>
    </row>
    <row r="120" ht="22.5" customHeight="1">
      <c r="A120" s="233"/>
      <c r="B120" s="227"/>
      <c r="C120" s="227"/>
      <c r="D120" s="226"/>
      <c r="E120" s="226"/>
      <c r="F120" s="90"/>
    </row>
    <row r="121" ht="22.5" customHeight="1">
      <c r="A121" s="233"/>
      <c r="B121" s="227"/>
      <c r="C121" s="227"/>
      <c r="D121" s="226"/>
      <c r="E121" s="226"/>
      <c r="F121" s="90"/>
    </row>
    <row r="122" ht="22.5" customHeight="1">
      <c r="A122" s="233"/>
      <c r="B122" s="227"/>
      <c r="C122" s="227"/>
      <c r="D122" s="226"/>
      <c r="E122" s="226"/>
      <c r="F122" s="90"/>
    </row>
    <row r="123" ht="22.5" customHeight="1">
      <c r="A123" s="233"/>
      <c r="B123" s="227"/>
      <c r="C123" s="227"/>
      <c r="D123" s="226"/>
      <c r="E123" s="226"/>
      <c r="F123" s="90"/>
    </row>
    <row r="124" ht="22.5" customHeight="1">
      <c r="A124" s="233"/>
      <c r="B124" s="227"/>
      <c r="C124" s="227"/>
      <c r="D124" s="226"/>
      <c r="E124" s="226"/>
      <c r="F124" s="90"/>
    </row>
    <row r="125" ht="22.5" customHeight="1">
      <c r="A125" s="233"/>
      <c r="B125" s="227"/>
      <c r="C125" s="227"/>
      <c r="D125" s="226"/>
      <c r="E125" s="226"/>
      <c r="F125" s="90"/>
    </row>
    <row r="126" ht="22.5" customHeight="1">
      <c r="A126" s="233"/>
      <c r="B126" s="227"/>
      <c r="C126" s="227"/>
      <c r="D126" s="226"/>
      <c r="E126" s="226"/>
      <c r="F126" s="90"/>
    </row>
    <row r="127" ht="22.5" customHeight="1">
      <c r="A127" s="233"/>
      <c r="B127" s="227"/>
      <c r="C127" s="227"/>
      <c r="D127" s="226"/>
      <c r="E127" s="226"/>
      <c r="F127" s="90"/>
    </row>
    <row r="128" ht="22.5" customHeight="1">
      <c r="A128" s="233"/>
      <c r="B128" s="227"/>
      <c r="C128" s="227"/>
      <c r="D128" s="226"/>
      <c r="E128" s="226"/>
      <c r="F128" s="90"/>
    </row>
    <row r="129" ht="22.5" customHeight="1">
      <c r="A129" s="233"/>
      <c r="B129" s="227"/>
      <c r="C129" s="227"/>
      <c r="D129" s="226"/>
      <c r="E129" s="226"/>
      <c r="F129" s="90"/>
    </row>
    <row r="130" ht="22.5" customHeight="1">
      <c r="A130" s="233"/>
      <c r="B130" s="227"/>
      <c r="C130" s="227"/>
      <c r="D130" s="226"/>
      <c r="E130" s="226"/>
      <c r="F130" s="90"/>
    </row>
    <row r="131" ht="22.5" customHeight="1">
      <c r="A131" s="233"/>
      <c r="B131" s="227"/>
      <c r="C131" s="227"/>
      <c r="D131" s="226"/>
      <c r="E131" s="226"/>
      <c r="F131" s="90"/>
    </row>
    <row r="132" ht="22.5" customHeight="1">
      <c r="A132" s="233"/>
      <c r="B132" s="227"/>
      <c r="C132" s="227"/>
      <c r="D132" s="226"/>
      <c r="E132" s="226"/>
      <c r="F132" s="90"/>
    </row>
    <row r="133" ht="22.5" customHeight="1">
      <c r="A133" s="233"/>
      <c r="B133" s="227"/>
      <c r="C133" s="227"/>
      <c r="D133" s="226"/>
      <c r="E133" s="226"/>
      <c r="F133" s="90"/>
    </row>
    <row r="134" ht="22.5" customHeight="1">
      <c r="A134" s="233"/>
      <c r="B134" s="227"/>
      <c r="C134" s="227"/>
      <c r="D134" s="226"/>
      <c r="E134" s="226"/>
      <c r="F134" s="90"/>
    </row>
    <row r="135" ht="22.5" customHeight="1">
      <c r="A135" s="233"/>
      <c r="B135" s="227"/>
      <c r="C135" s="227"/>
      <c r="D135" s="226"/>
      <c r="E135" s="226"/>
      <c r="F135" s="90"/>
    </row>
    <row r="136" ht="22.5" customHeight="1">
      <c r="A136" s="233"/>
      <c r="B136" s="227"/>
      <c r="C136" s="227"/>
      <c r="D136" s="226"/>
      <c r="E136" s="226"/>
      <c r="F136" s="90"/>
    </row>
    <row r="137" ht="22.5" customHeight="1">
      <c r="A137" s="233"/>
      <c r="B137" s="227"/>
      <c r="C137" s="227"/>
      <c r="D137" s="226"/>
      <c r="E137" s="226"/>
      <c r="F137" s="90"/>
    </row>
    <row r="138" ht="22.5" customHeight="1">
      <c r="A138" s="233"/>
      <c r="B138" s="227"/>
      <c r="C138" s="227"/>
      <c r="D138" s="226"/>
      <c r="E138" s="226"/>
      <c r="F138" s="90"/>
    </row>
    <row r="139" ht="22.5" customHeight="1">
      <c r="A139" s="233"/>
      <c r="B139" s="227"/>
      <c r="C139" s="227"/>
      <c r="D139" s="226"/>
      <c r="E139" s="226"/>
      <c r="F139" s="90"/>
    </row>
    <row r="140" ht="22.5" customHeight="1">
      <c r="A140" s="233"/>
      <c r="B140" s="227"/>
      <c r="C140" s="227"/>
      <c r="D140" s="226"/>
      <c r="E140" s="226"/>
      <c r="F140" s="90"/>
    </row>
    <row r="141" ht="22.5" customHeight="1">
      <c r="A141" s="233"/>
      <c r="B141" s="227"/>
      <c r="C141" s="227"/>
      <c r="D141" s="226"/>
      <c r="E141" s="226"/>
      <c r="F141" s="90"/>
    </row>
    <row r="142" ht="22.5" customHeight="1">
      <c r="A142" s="233"/>
      <c r="B142" s="227"/>
      <c r="C142" s="227"/>
      <c r="D142" s="226"/>
      <c r="E142" s="226"/>
      <c r="F142" s="90"/>
    </row>
    <row r="143" ht="22.5" customHeight="1">
      <c r="A143" s="233"/>
      <c r="B143" s="227"/>
      <c r="C143" s="227"/>
      <c r="D143" s="226"/>
      <c r="E143" s="226"/>
      <c r="F143" s="90"/>
    </row>
    <row r="144" ht="22.5" customHeight="1">
      <c r="A144" s="233"/>
      <c r="B144" s="227"/>
      <c r="C144" s="227"/>
      <c r="D144" s="226"/>
      <c r="E144" s="226"/>
      <c r="F144" s="90"/>
    </row>
    <row r="145" ht="22.5" customHeight="1">
      <c r="A145" s="233"/>
      <c r="B145" s="227"/>
      <c r="C145" s="227"/>
      <c r="D145" s="226"/>
      <c r="E145" s="226"/>
      <c r="F145" s="90"/>
    </row>
    <row r="146" ht="22.5" customHeight="1">
      <c r="A146" s="233"/>
      <c r="B146" s="227"/>
      <c r="C146" s="227"/>
      <c r="D146" s="226"/>
      <c r="E146" s="226"/>
      <c r="F146" s="90"/>
    </row>
    <row r="147" ht="22.5" customHeight="1">
      <c r="A147" s="233"/>
      <c r="B147" s="227"/>
      <c r="C147" s="227"/>
      <c r="D147" s="226"/>
      <c r="E147" s="226"/>
      <c r="F147" s="90"/>
    </row>
    <row r="148" ht="22.5" customHeight="1">
      <c r="A148" s="233"/>
      <c r="B148" s="227"/>
      <c r="C148" s="227"/>
      <c r="D148" s="226"/>
      <c r="E148" s="226"/>
      <c r="F148" s="90"/>
    </row>
    <row r="149" ht="22.5" customHeight="1">
      <c r="A149" s="233"/>
      <c r="B149" s="227"/>
      <c r="C149" s="227"/>
      <c r="D149" s="226"/>
      <c r="E149" s="226"/>
      <c r="F149" s="90"/>
    </row>
    <row r="150" ht="22.5" customHeight="1">
      <c r="A150" s="233"/>
      <c r="B150" s="227"/>
      <c r="C150" s="227"/>
      <c r="D150" s="226"/>
      <c r="E150" s="226"/>
      <c r="F150" s="90"/>
    </row>
    <row r="151" ht="22.5" customHeight="1">
      <c r="A151" s="233"/>
      <c r="B151" s="227"/>
      <c r="C151" s="227"/>
      <c r="D151" s="226"/>
      <c r="E151" s="226"/>
      <c r="F151" s="90"/>
    </row>
    <row r="152" ht="22.5" customHeight="1">
      <c r="A152" s="233"/>
      <c r="B152" s="227"/>
      <c r="C152" s="227"/>
      <c r="D152" s="226"/>
      <c r="E152" s="226"/>
      <c r="F152" s="90"/>
    </row>
    <row r="153" ht="22.5" customHeight="1">
      <c r="A153" s="233"/>
      <c r="B153" s="227"/>
      <c r="C153" s="227"/>
      <c r="D153" s="226"/>
      <c r="E153" s="226"/>
      <c r="F153" s="90"/>
    </row>
    <row r="154" ht="22.5" customHeight="1">
      <c r="A154" s="233"/>
      <c r="B154" s="227"/>
      <c r="C154" s="227"/>
      <c r="D154" s="226"/>
      <c r="E154" s="226"/>
      <c r="F154" s="90"/>
    </row>
    <row r="155" ht="22.5" customHeight="1">
      <c r="A155" s="233"/>
      <c r="B155" s="227"/>
      <c r="C155" s="227"/>
      <c r="D155" s="226"/>
      <c r="E155" s="226"/>
      <c r="F155" s="90"/>
    </row>
    <row r="156" ht="22.5" customHeight="1">
      <c r="A156" s="233"/>
      <c r="B156" s="227"/>
      <c r="C156" s="227"/>
      <c r="D156" s="226"/>
      <c r="E156" s="226"/>
      <c r="F156" s="90"/>
    </row>
    <row r="157" ht="22.5" customHeight="1">
      <c r="A157" s="233"/>
      <c r="B157" s="227"/>
      <c r="C157" s="227"/>
      <c r="D157" s="226"/>
      <c r="E157" s="226"/>
      <c r="F157" s="90"/>
    </row>
    <row r="158" ht="22.5" customHeight="1">
      <c r="A158" s="233"/>
      <c r="B158" s="227"/>
      <c r="C158" s="227"/>
      <c r="D158" s="226"/>
      <c r="E158" s="226"/>
      <c r="F158" s="90"/>
    </row>
    <row r="159" ht="22.5" customHeight="1">
      <c r="A159" s="233"/>
      <c r="B159" s="227"/>
      <c r="C159" s="227"/>
      <c r="D159" s="226"/>
      <c r="E159" s="226"/>
      <c r="F159" s="90"/>
    </row>
    <row r="160" ht="22.5" customHeight="1">
      <c r="A160" s="233"/>
      <c r="B160" s="227"/>
      <c r="C160" s="227"/>
      <c r="D160" s="226"/>
      <c r="E160" s="226"/>
      <c r="F160" s="90"/>
    </row>
    <row r="161" ht="22.5" customHeight="1">
      <c r="A161" s="233"/>
      <c r="B161" s="227"/>
      <c r="C161" s="227"/>
      <c r="D161" s="226"/>
      <c r="E161" s="226"/>
      <c r="F161" s="90"/>
    </row>
    <row r="162" ht="22.5" customHeight="1">
      <c r="A162" s="233"/>
      <c r="B162" s="227"/>
      <c r="C162" s="227"/>
      <c r="D162" s="226"/>
      <c r="E162" s="226"/>
      <c r="F162" s="90"/>
    </row>
    <row r="163" ht="22.5" customHeight="1">
      <c r="A163" s="233"/>
      <c r="B163" s="227"/>
      <c r="C163" s="227"/>
      <c r="D163" s="226"/>
      <c r="E163" s="226"/>
      <c r="F163" s="90"/>
    </row>
    <row r="164" ht="22.5" customHeight="1">
      <c r="A164" s="233"/>
      <c r="B164" s="227"/>
      <c r="C164" s="227"/>
      <c r="D164" s="226"/>
      <c r="E164" s="226"/>
      <c r="F164" s="90"/>
    </row>
    <row r="165" ht="22.5" customHeight="1">
      <c r="A165" s="233"/>
      <c r="B165" s="227"/>
      <c r="C165" s="227"/>
      <c r="D165" s="226"/>
      <c r="E165" s="226"/>
      <c r="F165" s="90"/>
    </row>
    <row r="166" ht="22.5" customHeight="1">
      <c r="A166" s="233"/>
      <c r="B166" s="227"/>
      <c r="C166" s="227"/>
      <c r="D166" s="226"/>
      <c r="E166" s="226"/>
      <c r="F166" s="90"/>
    </row>
    <row r="167" ht="22.5" customHeight="1">
      <c r="A167" s="233"/>
      <c r="B167" s="227"/>
      <c r="C167" s="227"/>
      <c r="D167" s="226"/>
      <c r="E167" s="226"/>
      <c r="F167" s="90"/>
    </row>
    <row r="168" ht="22.5" customHeight="1">
      <c r="A168" s="233"/>
      <c r="B168" s="227"/>
      <c r="C168" s="227"/>
      <c r="D168" s="226"/>
      <c r="E168" s="226"/>
      <c r="F168" s="90"/>
    </row>
    <row r="169" ht="22.5" customHeight="1">
      <c r="A169" s="233"/>
      <c r="B169" s="227"/>
      <c r="C169" s="227"/>
      <c r="D169" s="226"/>
      <c r="E169" s="226"/>
      <c r="F169" s="90"/>
    </row>
    <row r="170" ht="22.5" customHeight="1">
      <c r="A170" s="233"/>
      <c r="B170" s="227"/>
      <c r="C170" s="227"/>
      <c r="D170" s="226"/>
      <c r="E170" s="226"/>
      <c r="F170" s="90"/>
    </row>
    <row r="171" ht="22.5" customHeight="1">
      <c r="A171" s="233"/>
      <c r="B171" s="227"/>
      <c r="C171" s="227"/>
      <c r="D171" s="226"/>
      <c r="E171" s="226"/>
      <c r="F171" s="90"/>
    </row>
    <row r="172" ht="22.5" customHeight="1">
      <c r="A172" s="233"/>
      <c r="B172" s="227"/>
      <c r="C172" s="227"/>
      <c r="D172" s="226"/>
      <c r="E172" s="226"/>
      <c r="F172" s="90"/>
    </row>
    <row r="173" ht="22.5" customHeight="1">
      <c r="A173" s="233"/>
      <c r="B173" s="227"/>
      <c r="C173" s="227"/>
      <c r="D173" s="226"/>
      <c r="E173" s="226"/>
      <c r="F173" s="90"/>
    </row>
    <row r="174" ht="22.5" customHeight="1">
      <c r="A174" s="233"/>
      <c r="B174" s="227"/>
      <c r="C174" s="227"/>
      <c r="D174" s="226"/>
      <c r="E174" s="226"/>
      <c r="F174" s="90"/>
    </row>
    <row r="175" ht="22.5" customHeight="1">
      <c r="A175" s="233"/>
      <c r="B175" s="227"/>
      <c r="C175" s="227"/>
      <c r="D175" s="226"/>
      <c r="E175" s="226"/>
      <c r="F175" s="90"/>
    </row>
    <row r="176" ht="22.5" customHeight="1">
      <c r="A176" s="233"/>
      <c r="B176" s="227"/>
      <c r="C176" s="227"/>
      <c r="D176" s="226"/>
      <c r="E176" s="226"/>
      <c r="F176" s="90"/>
    </row>
    <row r="177" ht="22.5" customHeight="1">
      <c r="A177" s="233"/>
      <c r="B177" s="227"/>
      <c r="C177" s="227"/>
      <c r="D177" s="226"/>
      <c r="E177" s="226"/>
      <c r="F177" s="90"/>
    </row>
    <row r="178" ht="22.5" customHeight="1">
      <c r="A178" s="233"/>
      <c r="B178" s="227"/>
      <c r="C178" s="227"/>
      <c r="D178" s="226"/>
      <c r="E178" s="226"/>
      <c r="F178" s="90"/>
    </row>
    <row r="179" ht="22.5" customHeight="1">
      <c r="A179" s="233"/>
      <c r="B179" s="227"/>
      <c r="C179" s="227"/>
      <c r="D179" s="226"/>
      <c r="E179" s="226"/>
      <c r="F179" s="90"/>
    </row>
    <row r="180" ht="22.5" customHeight="1">
      <c r="A180" s="233"/>
      <c r="B180" s="227"/>
      <c r="C180" s="227"/>
      <c r="D180" s="226"/>
      <c r="E180" s="226"/>
      <c r="F180" s="90"/>
    </row>
    <row r="181" ht="22.5" customHeight="1">
      <c r="A181" s="233"/>
      <c r="B181" s="227"/>
      <c r="C181" s="227"/>
      <c r="D181" s="226"/>
      <c r="E181" s="226"/>
      <c r="F181" s="90"/>
    </row>
    <row r="182" ht="22.5" customHeight="1">
      <c r="A182" s="233"/>
      <c r="B182" s="227"/>
      <c r="C182" s="227"/>
      <c r="D182" s="226"/>
      <c r="E182" s="226"/>
      <c r="F182" s="90"/>
    </row>
    <row r="183" ht="22.5" customHeight="1">
      <c r="A183" s="233"/>
      <c r="B183" s="227"/>
      <c r="C183" s="227"/>
      <c r="D183" s="226"/>
      <c r="E183" s="226"/>
      <c r="F183" s="90"/>
    </row>
    <row r="184" ht="22.5" customHeight="1">
      <c r="A184" s="233"/>
      <c r="B184" s="227"/>
      <c r="C184" s="227"/>
      <c r="D184" s="226"/>
      <c r="E184" s="226"/>
      <c r="F184" s="90"/>
    </row>
    <row r="185" ht="22.5" customHeight="1">
      <c r="A185" s="233"/>
      <c r="B185" s="227"/>
      <c r="C185" s="227"/>
      <c r="D185" s="226"/>
      <c r="E185" s="226"/>
      <c r="F185" s="90"/>
    </row>
    <row r="186" ht="22.5" customHeight="1">
      <c r="A186" s="233"/>
      <c r="B186" s="227"/>
      <c r="C186" s="227"/>
      <c r="D186" s="226"/>
      <c r="E186" s="226"/>
      <c r="F186" s="90"/>
    </row>
    <row r="187" ht="22.5" customHeight="1">
      <c r="A187" s="233"/>
      <c r="B187" s="227"/>
      <c r="C187" s="227"/>
      <c r="D187" s="226"/>
      <c r="E187" s="226"/>
      <c r="F187" s="90"/>
    </row>
    <row r="188" ht="22.5" customHeight="1">
      <c r="A188" s="233"/>
      <c r="B188" s="227"/>
      <c r="C188" s="227"/>
      <c r="D188" s="226"/>
      <c r="E188" s="226"/>
      <c r="F188" s="90"/>
    </row>
    <row r="189" ht="22.5" customHeight="1">
      <c r="A189" s="233"/>
      <c r="B189" s="227"/>
      <c r="C189" s="227"/>
      <c r="D189" s="226"/>
      <c r="E189" s="226"/>
      <c r="F189" s="90"/>
    </row>
    <row r="190" ht="22.5" customHeight="1">
      <c r="A190" s="233"/>
      <c r="B190" s="227"/>
      <c r="C190" s="227"/>
      <c r="D190" s="226"/>
      <c r="E190" s="226"/>
      <c r="F190" s="90"/>
    </row>
    <row r="191" ht="22.5" customHeight="1">
      <c r="A191" s="233"/>
      <c r="B191" s="227"/>
      <c r="C191" s="227"/>
      <c r="D191" s="226"/>
      <c r="E191" s="226"/>
      <c r="F191" s="90"/>
    </row>
    <row r="192" ht="22.5" customHeight="1">
      <c r="A192" s="233"/>
      <c r="B192" s="227"/>
      <c r="C192" s="227"/>
      <c r="D192" s="226"/>
      <c r="E192" s="226"/>
      <c r="F192" s="90"/>
    </row>
    <row r="193" ht="22.5" customHeight="1">
      <c r="A193" s="233"/>
      <c r="B193" s="227"/>
      <c r="C193" s="227"/>
      <c r="D193" s="226"/>
      <c r="E193" s="226"/>
      <c r="F193" s="90"/>
    </row>
    <row r="194" ht="22.5" customHeight="1">
      <c r="A194" s="233"/>
      <c r="B194" s="227"/>
      <c r="C194" s="227"/>
      <c r="D194" s="226"/>
      <c r="E194" s="226"/>
      <c r="F194" s="90"/>
    </row>
    <row r="195" ht="22.5" customHeight="1">
      <c r="A195" s="233"/>
      <c r="B195" s="227"/>
      <c r="C195" s="227"/>
      <c r="D195" s="226"/>
      <c r="E195" s="226"/>
      <c r="F195" s="90"/>
    </row>
    <row r="196" ht="22.5" customHeight="1">
      <c r="A196" s="233"/>
      <c r="B196" s="227"/>
      <c r="C196" s="227"/>
      <c r="D196" s="226"/>
      <c r="E196" s="226"/>
      <c r="F196" s="90"/>
    </row>
    <row r="197" ht="22.5" customHeight="1">
      <c r="A197" s="233"/>
      <c r="B197" s="227"/>
      <c r="C197" s="227"/>
      <c r="D197" s="226"/>
      <c r="E197" s="226"/>
      <c r="F197" s="90"/>
    </row>
    <row r="198" ht="22.5" customHeight="1">
      <c r="A198" s="233"/>
      <c r="B198" s="227"/>
      <c r="C198" s="227"/>
      <c r="D198" s="226"/>
      <c r="E198" s="226"/>
      <c r="F198" s="90"/>
    </row>
    <row r="199" ht="22.5" customHeight="1">
      <c r="A199" s="233"/>
      <c r="B199" s="227"/>
      <c r="C199" s="227"/>
      <c r="D199" s="226"/>
      <c r="E199" s="226"/>
      <c r="F199" s="90"/>
    </row>
    <row r="200" ht="22.5" customHeight="1">
      <c r="A200" s="233"/>
      <c r="B200" s="227"/>
      <c r="C200" s="227"/>
      <c r="D200" s="226"/>
      <c r="E200" s="226"/>
      <c r="F200" s="90"/>
    </row>
    <row r="201" ht="22.5" customHeight="1">
      <c r="A201" s="233"/>
      <c r="B201" s="227"/>
      <c r="C201" s="227"/>
      <c r="D201" s="226"/>
      <c r="E201" s="226"/>
      <c r="F201" s="90"/>
    </row>
    <row r="202" ht="22.5" customHeight="1">
      <c r="A202" s="233"/>
      <c r="B202" s="227"/>
      <c r="C202" s="227"/>
      <c r="D202" s="226"/>
      <c r="E202" s="226"/>
      <c r="F202" s="90"/>
    </row>
    <row r="203" ht="22.5" customHeight="1">
      <c r="A203" s="233"/>
      <c r="B203" s="227"/>
      <c r="C203" s="227"/>
      <c r="D203" s="226"/>
      <c r="E203" s="226"/>
      <c r="F203" s="90"/>
    </row>
    <row r="204" ht="22.5" customHeight="1">
      <c r="A204" s="233"/>
      <c r="B204" s="227"/>
      <c r="C204" s="227"/>
      <c r="D204" s="226"/>
      <c r="E204" s="226"/>
      <c r="F204" s="90"/>
    </row>
    <row r="205" ht="22.5" customHeight="1">
      <c r="A205" s="233"/>
      <c r="B205" s="227"/>
      <c r="C205" s="227"/>
      <c r="D205" s="226"/>
      <c r="E205" s="226"/>
      <c r="F205" s="90"/>
    </row>
    <row r="206" ht="22.5" customHeight="1">
      <c r="A206" s="233"/>
      <c r="B206" s="227"/>
      <c r="C206" s="227"/>
      <c r="D206" s="226"/>
      <c r="E206" s="226"/>
      <c r="F206" s="90"/>
    </row>
    <row r="207" ht="22.5" customHeight="1">
      <c r="A207" s="233"/>
      <c r="B207" s="227"/>
      <c r="C207" s="227"/>
      <c r="D207" s="226"/>
      <c r="E207" s="226"/>
      <c r="F207" s="90"/>
    </row>
    <row r="208" ht="22.5" customHeight="1">
      <c r="A208" s="233"/>
      <c r="B208" s="227"/>
      <c r="C208" s="227"/>
      <c r="D208" s="226"/>
      <c r="E208" s="226"/>
      <c r="F208" s="90"/>
    </row>
    <row r="209" ht="22.5" customHeight="1">
      <c r="A209" s="233"/>
      <c r="B209" s="227"/>
      <c r="C209" s="227"/>
      <c r="D209" s="226"/>
      <c r="E209" s="226"/>
      <c r="F209" s="90"/>
    </row>
    <row r="210" ht="22.5" customHeight="1">
      <c r="A210" s="233"/>
      <c r="B210" s="227"/>
      <c r="C210" s="227"/>
      <c r="D210" s="226"/>
      <c r="E210" s="226"/>
      <c r="F210" s="90"/>
    </row>
    <row r="211" ht="22.5" customHeight="1">
      <c r="A211" s="233"/>
      <c r="B211" s="227"/>
      <c r="C211" s="227"/>
      <c r="D211" s="226"/>
      <c r="E211" s="226"/>
      <c r="F211" s="90"/>
    </row>
    <row r="212" ht="22.5" customHeight="1">
      <c r="A212" s="233"/>
      <c r="B212" s="227"/>
      <c r="C212" s="227"/>
      <c r="D212" s="226"/>
      <c r="E212" s="226"/>
      <c r="F212" s="90"/>
    </row>
    <row r="213" ht="22.5" customHeight="1">
      <c r="A213" s="233"/>
      <c r="B213" s="227"/>
      <c r="C213" s="227"/>
      <c r="D213" s="226"/>
      <c r="E213" s="226"/>
      <c r="F213" s="90"/>
    </row>
    <row r="214" ht="22.5" customHeight="1">
      <c r="A214" s="233"/>
      <c r="B214" s="227"/>
      <c r="C214" s="227"/>
      <c r="D214" s="226"/>
      <c r="E214" s="226"/>
      <c r="F214" s="90"/>
    </row>
    <row r="215" ht="22.5" customHeight="1">
      <c r="A215" s="233"/>
      <c r="B215" s="227"/>
      <c r="C215" s="227"/>
      <c r="D215" s="226"/>
      <c r="E215" s="226"/>
      <c r="F215" s="90"/>
    </row>
    <row r="216" ht="22.5" customHeight="1">
      <c r="A216" s="233"/>
      <c r="B216" s="227"/>
      <c r="C216" s="227"/>
      <c r="D216" s="226"/>
      <c r="E216" s="226"/>
      <c r="F216" s="90"/>
    </row>
    <row r="217" ht="22.5" customHeight="1">
      <c r="A217" s="233"/>
      <c r="B217" s="227"/>
      <c r="C217" s="227"/>
      <c r="D217" s="226"/>
      <c r="E217" s="226"/>
      <c r="F217" s="90"/>
    </row>
    <row r="218" ht="22.5" customHeight="1">
      <c r="A218" s="233"/>
      <c r="B218" s="227"/>
      <c r="C218" s="227"/>
      <c r="D218" s="226"/>
      <c r="E218" s="226"/>
      <c r="F218" s="90"/>
    </row>
    <row r="219" ht="22.5" customHeight="1">
      <c r="A219" s="233"/>
      <c r="B219" s="227"/>
      <c r="C219" s="227"/>
      <c r="D219" s="226"/>
      <c r="E219" s="226"/>
      <c r="F219" s="90"/>
    </row>
    <row r="220" ht="22.5" customHeight="1">
      <c r="A220" s="233"/>
      <c r="B220" s="227"/>
      <c r="C220" s="227"/>
      <c r="D220" s="226"/>
      <c r="E220" s="226"/>
      <c r="F220" s="90"/>
    </row>
    <row r="221" ht="22.5" customHeight="1">
      <c r="A221" s="233"/>
      <c r="B221" s="227"/>
      <c r="C221" s="227"/>
      <c r="D221" s="226"/>
      <c r="E221" s="226"/>
      <c r="F221" s="90"/>
    </row>
    <row r="222" ht="22.5" customHeight="1">
      <c r="A222" s="233"/>
      <c r="B222" s="227"/>
      <c r="C222" s="227"/>
      <c r="D222" s="226"/>
      <c r="E222" s="226"/>
      <c r="F222" s="90"/>
    </row>
    <row r="223" ht="22.5" customHeight="1">
      <c r="A223" s="233"/>
      <c r="B223" s="227"/>
      <c r="C223" s="227"/>
      <c r="D223" s="226"/>
      <c r="E223" s="226"/>
      <c r="F223" s="90"/>
    </row>
    <row r="224" ht="22.5" customHeight="1">
      <c r="A224" s="233"/>
      <c r="B224" s="227"/>
      <c r="C224" s="227"/>
      <c r="D224" s="226"/>
      <c r="E224" s="226"/>
      <c r="F224" s="90"/>
    </row>
    <row r="225" ht="22.5" customHeight="1">
      <c r="A225" s="233"/>
      <c r="B225" s="227"/>
      <c r="C225" s="227"/>
      <c r="D225" s="226"/>
      <c r="E225" s="226"/>
      <c r="F225" s="90"/>
    </row>
    <row r="226" ht="22.5" customHeight="1">
      <c r="A226" s="233"/>
      <c r="B226" s="227"/>
      <c r="C226" s="227"/>
      <c r="D226" s="226"/>
      <c r="E226" s="226"/>
      <c r="F226" s="90"/>
    </row>
    <row r="227" ht="22.5" customHeight="1">
      <c r="A227" s="233"/>
      <c r="B227" s="227"/>
      <c r="C227" s="227"/>
      <c r="D227" s="226"/>
      <c r="E227" s="226"/>
      <c r="F227" s="90"/>
    </row>
    <row r="228" ht="22.5" customHeight="1">
      <c r="A228" s="233"/>
      <c r="B228" s="227"/>
      <c r="C228" s="227"/>
      <c r="D228" s="226"/>
      <c r="E228" s="226"/>
      <c r="F228" s="90"/>
    </row>
    <row r="229" ht="22.5" customHeight="1">
      <c r="A229" s="233"/>
      <c r="B229" s="227"/>
      <c r="C229" s="227"/>
      <c r="D229" s="226"/>
      <c r="E229" s="226"/>
      <c r="F229" s="90"/>
    </row>
    <row r="230" ht="22.5" customHeight="1">
      <c r="A230" s="233"/>
      <c r="B230" s="227"/>
      <c r="C230" s="227"/>
      <c r="D230" s="226"/>
      <c r="E230" s="226"/>
      <c r="F230" s="90"/>
    </row>
    <row r="231" ht="22.5" customHeight="1">
      <c r="A231" s="233"/>
      <c r="B231" s="227"/>
      <c r="C231" s="227"/>
      <c r="D231" s="226"/>
      <c r="E231" s="226"/>
      <c r="F231" s="90"/>
    </row>
    <row r="232" ht="22.5" customHeight="1">
      <c r="A232" s="233"/>
      <c r="B232" s="227"/>
      <c r="C232" s="227"/>
      <c r="D232" s="226"/>
      <c r="E232" s="226"/>
      <c r="F232" s="90"/>
    </row>
    <row r="233" ht="22.5" customHeight="1">
      <c r="A233" s="233"/>
      <c r="B233" s="227"/>
      <c r="C233" s="227"/>
      <c r="D233" s="226"/>
      <c r="E233" s="226"/>
      <c r="F233" s="90"/>
    </row>
    <row r="234" ht="22.5" customHeight="1">
      <c r="A234" s="233"/>
      <c r="B234" s="227"/>
      <c r="C234" s="227"/>
      <c r="D234" s="226"/>
      <c r="E234" s="226"/>
      <c r="F234" s="90"/>
    </row>
    <row r="235" ht="22.5" customHeight="1">
      <c r="A235" s="233"/>
      <c r="B235" s="227"/>
      <c r="C235" s="227"/>
      <c r="D235" s="226"/>
      <c r="E235" s="226"/>
      <c r="F235" s="90"/>
    </row>
    <row r="236" ht="22.5" customHeight="1">
      <c r="A236" s="233"/>
      <c r="B236" s="227"/>
      <c r="C236" s="227"/>
      <c r="D236" s="226"/>
      <c r="E236" s="226"/>
      <c r="F236" s="90"/>
    </row>
    <row r="237" ht="22.5" customHeight="1">
      <c r="A237" s="233"/>
      <c r="B237" s="227"/>
      <c r="C237" s="227"/>
      <c r="D237" s="226"/>
      <c r="E237" s="226"/>
      <c r="F237" s="90"/>
    </row>
    <row r="238" ht="22.5" customHeight="1">
      <c r="A238" s="233"/>
      <c r="B238" s="227"/>
      <c r="C238" s="227"/>
      <c r="D238" s="226"/>
      <c r="E238" s="226"/>
      <c r="F238" s="90"/>
    </row>
    <row r="239" ht="22.5" customHeight="1">
      <c r="A239" s="233"/>
      <c r="B239" s="227"/>
      <c r="C239" s="227"/>
      <c r="D239" s="226"/>
      <c r="E239" s="226"/>
      <c r="F239" s="90"/>
    </row>
    <row r="240" ht="22.5" customHeight="1">
      <c r="A240" s="233"/>
      <c r="B240" s="227"/>
      <c r="C240" s="227"/>
      <c r="D240" s="226"/>
      <c r="E240" s="226"/>
      <c r="F240" s="90"/>
    </row>
    <row r="241" ht="22.5" customHeight="1">
      <c r="A241" s="233"/>
      <c r="B241" s="227"/>
      <c r="C241" s="227"/>
      <c r="D241" s="226"/>
      <c r="E241" s="226"/>
      <c r="F241" s="90"/>
    </row>
    <row r="242" ht="22.5" customHeight="1">
      <c r="A242" s="233"/>
      <c r="B242" s="227"/>
      <c r="C242" s="227"/>
      <c r="D242" s="226"/>
      <c r="E242" s="226"/>
      <c r="F242" s="90"/>
    </row>
    <row r="243" ht="22.5" customHeight="1">
      <c r="A243" s="233"/>
      <c r="B243" s="227"/>
      <c r="C243" s="227"/>
      <c r="D243" s="226"/>
      <c r="E243" s="226"/>
      <c r="F243" s="90"/>
    </row>
    <row r="244" ht="22.5" customHeight="1">
      <c r="A244" s="233"/>
      <c r="B244" s="227"/>
      <c r="C244" s="227"/>
      <c r="D244" s="226"/>
      <c r="E244" s="226"/>
      <c r="F244" s="90"/>
    </row>
    <row r="245" ht="22.5" customHeight="1">
      <c r="A245" s="233"/>
      <c r="B245" s="227"/>
      <c r="C245" s="227"/>
      <c r="D245" s="226"/>
      <c r="E245" s="226"/>
      <c r="F245" s="90"/>
    </row>
    <row r="246" ht="22.5" customHeight="1">
      <c r="A246" s="233"/>
      <c r="B246" s="227"/>
      <c r="C246" s="227"/>
      <c r="D246" s="226"/>
      <c r="E246" s="226"/>
      <c r="F246" s="90"/>
    </row>
    <row r="247" ht="22.5" customHeight="1">
      <c r="A247" s="233"/>
      <c r="B247" s="227"/>
      <c r="C247" s="227"/>
      <c r="D247" s="226"/>
      <c r="E247" s="226"/>
      <c r="F247" s="90"/>
    </row>
    <row r="248" ht="22.5" customHeight="1">
      <c r="A248" s="233"/>
      <c r="B248" s="227"/>
      <c r="C248" s="227"/>
      <c r="D248" s="226"/>
      <c r="E248" s="226"/>
      <c r="F248" s="90"/>
    </row>
    <row r="249" ht="22.5" customHeight="1">
      <c r="A249" s="233"/>
      <c r="B249" s="227"/>
      <c r="C249" s="227"/>
      <c r="D249" s="226"/>
      <c r="E249" s="226"/>
      <c r="F249" s="90"/>
    </row>
    <row r="250" ht="22.5" customHeight="1">
      <c r="A250" s="233"/>
      <c r="B250" s="227"/>
      <c r="C250" s="227"/>
      <c r="D250" s="226"/>
      <c r="E250" s="226"/>
      <c r="F250" s="90"/>
    </row>
    <row r="251" ht="22.5" customHeight="1">
      <c r="A251" s="233"/>
      <c r="B251" s="227"/>
      <c r="C251" s="227"/>
      <c r="D251" s="226"/>
      <c r="E251" s="226"/>
      <c r="F251" s="90"/>
    </row>
    <row r="252" ht="22.5" customHeight="1">
      <c r="A252" s="233"/>
      <c r="B252" s="227"/>
      <c r="C252" s="227"/>
      <c r="D252" s="226"/>
      <c r="E252" s="226"/>
      <c r="F252" s="90"/>
    </row>
    <row r="253" ht="22.5" customHeight="1">
      <c r="A253" s="233"/>
      <c r="B253" s="227"/>
      <c r="C253" s="227"/>
      <c r="D253" s="226"/>
      <c r="E253" s="226"/>
      <c r="F253" s="90"/>
    </row>
    <row r="254" ht="22.5" customHeight="1">
      <c r="A254" s="233"/>
      <c r="B254" s="227"/>
      <c r="C254" s="227"/>
      <c r="D254" s="226"/>
      <c r="E254" s="226"/>
      <c r="F254" s="90"/>
    </row>
    <row r="255" ht="22.5" customHeight="1">
      <c r="A255" s="233"/>
      <c r="B255" s="227"/>
      <c r="C255" s="227"/>
      <c r="D255" s="226"/>
      <c r="E255" s="226"/>
      <c r="F255" s="90"/>
    </row>
    <row r="256" ht="22.5" customHeight="1">
      <c r="A256" s="233"/>
      <c r="B256" s="227"/>
      <c r="C256" s="227"/>
      <c r="D256" s="226"/>
      <c r="E256" s="226"/>
      <c r="F256" s="90"/>
    </row>
    <row r="257" ht="22.5" customHeight="1">
      <c r="A257" s="233"/>
      <c r="B257" s="227"/>
      <c r="C257" s="227"/>
      <c r="D257" s="226"/>
      <c r="E257" s="226"/>
      <c r="F257" s="90"/>
    </row>
    <row r="258" ht="22.5" customHeight="1">
      <c r="A258" s="233"/>
      <c r="B258" s="227"/>
      <c r="C258" s="227"/>
      <c r="D258" s="226"/>
      <c r="E258" s="226"/>
      <c r="F258" s="90"/>
    </row>
    <row r="259" ht="22.5" customHeight="1">
      <c r="A259" s="233"/>
      <c r="B259" s="227"/>
      <c r="C259" s="227"/>
      <c r="D259" s="226"/>
      <c r="E259" s="226"/>
      <c r="F259" s="90"/>
    </row>
    <row r="260" ht="22.5" customHeight="1">
      <c r="A260" s="233"/>
      <c r="B260" s="227"/>
      <c r="C260" s="227"/>
      <c r="D260" s="226"/>
      <c r="E260" s="226"/>
      <c r="F260" s="90"/>
    </row>
    <row r="261" ht="22.5" customHeight="1">
      <c r="A261" s="233"/>
      <c r="B261" s="227"/>
      <c r="C261" s="227"/>
      <c r="D261" s="226"/>
      <c r="E261" s="226"/>
      <c r="F261" s="90"/>
    </row>
    <row r="262" ht="22.5" customHeight="1">
      <c r="A262" s="233"/>
      <c r="B262" s="227"/>
      <c r="C262" s="227"/>
      <c r="D262" s="226"/>
      <c r="E262" s="226"/>
      <c r="F262" s="90"/>
    </row>
    <row r="263" ht="22.5" customHeight="1">
      <c r="A263" s="233"/>
      <c r="B263" s="227"/>
      <c r="C263" s="227"/>
      <c r="D263" s="226"/>
      <c r="E263" s="226"/>
      <c r="F263" s="90"/>
    </row>
    <row r="264" ht="22.5" customHeight="1">
      <c r="A264" s="233"/>
      <c r="B264" s="227"/>
      <c r="C264" s="227"/>
      <c r="D264" s="226"/>
      <c r="E264" s="226"/>
      <c r="F264" s="90"/>
    </row>
    <row r="265" ht="22.5" customHeight="1">
      <c r="A265" s="233"/>
      <c r="B265" s="227"/>
      <c r="C265" s="227"/>
      <c r="D265" s="226"/>
      <c r="E265" s="226"/>
      <c r="F265" s="90"/>
    </row>
    <row r="266" ht="22.5" customHeight="1">
      <c r="A266" s="233"/>
      <c r="B266" s="227"/>
      <c r="C266" s="227"/>
      <c r="D266" s="226"/>
      <c r="E266" s="226"/>
      <c r="F266" s="90"/>
    </row>
    <row r="267" ht="22.5" customHeight="1">
      <c r="A267" s="233"/>
      <c r="B267" s="227"/>
      <c r="C267" s="227"/>
      <c r="D267" s="226"/>
      <c r="E267" s="226"/>
      <c r="F267" s="90"/>
    </row>
    <row r="268" ht="22.5" customHeight="1">
      <c r="A268" s="233"/>
      <c r="B268" s="227"/>
      <c r="C268" s="227"/>
      <c r="D268" s="226"/>
      <c r="E268" s="226"/>
      <c r="F268" s="90"/>
    </row>
    <row r="269" ht="22.5" customHeight="1">
      <c r="A269" s="233"/>
      <c r="B269" s="227"/>
      <c r="C269" s="227"/>
      <c r="D269" s="226"/>
      <c r="E269" s="226"/>
      <c r="F269" s="90"/>
    </row>
    <row r="270" ht="22.5" customHeight="1">
      <c r="A270" s="233"/>
      <c r="B270" s="227"/>
      <c r="C270" s="227"/>
      <c r="D270" s="226"/>
      <c r="E270" s="226"/>
      <c r="F270" s="90"/>
    </row>
    <row r="271" ht="22.5" customHeight="1">
      <c r="A271" s="233"/>
      <c r="B271" s="227"/>
      <c r="C271" s="227"/>
      <c r="D271" s="226"/>
      <c r="E271" s="226"/>
      <c r="F271" s="90"/>
    </row>
    <row r="272" ht="22.5" customHeight="1">
      <c r="A272" s="233"/>
      <c r="B272" s="227"/>
      <c r="C272" s="227"/>
      <c r="D272" s="226"/>
      <c r="E272" s="226"/>
      <c r="F272" s="90"/>
    </row>
    <row r="273" ht="22.5" customHeight="1">
      <c r="A273" s="233"/>
      <c r="B273" s="227"/>
      <c r="C273" s="227"/>
      <c r="D273" s="226"/>
      <c r="E273" s="226"/>
      <c r="F273" s="90"/>
    </row>
    <row r="274" ht="22.5" customHeight="1">
      <c r="A274" s="233"/>
      <c r="B274" s="227"/>
      <c r="C274" s="227"/>
      <c r="D274" s="226"/>
      <c r="E274" s="226"/>
      <c r="F274" s="90"/>
    </row>
    <row r="275" ht="22.5" customHeight="1">
      <c r="A275" s="233"/>
      <c r="B275" s="227"/>
      <c r="C275" s="227"/>
      <c r="D275" s="226"/>
      <c r="E275" s="226"/>
      <c r="F275" s="90"/>
    </row>
    <row r="276" ht="22.5" customHeight="1">
      <c r="A276" s="233"/>
      <c r="B276" s="227"/>
      <c r="C276" s="227"/>
      <c r="D276" s="226"/>
      <c r="E276" s="226"/>
      <c r="F276" s="90"/>
    </row>
    <row r="277" ht="22.5" customHeight="1">
      <c r="A277" s="233"/>
      <c r="B277" s="227"/>
      <c r="C277" s="227"/>
      <c r="D277" s="226"/>
      <c r="E277" s="226"/>
      <c r="F277" s="90"/>
    </row>
    <row r="278" ht="22.5" customHeight="1">
      <c r="A278" s="233"/>
      <c r="B278" s="227"/>
      <c r="C278" s="227"/>
      <c r="D278" s="226"/>
      <c r="E278" s="226"/>
      <c r="F278" s="90"/>
    </row>
    <row r="279" ht="22.5" customHeight="1">
      <c r="A279" s="233"/>
      <c r="B279" s="227"/>
      <c r="C279" s="227"/>
      <c r="D279" s="226"/>
      <c r="E279" s="226"/>
      <c r="F279" s="90"/>
    </row>
    <row r="280" ht="22.5" customHeight="1">
      <c r="A280" s="233"/>
      <c r="B280" s="227"/>
      <c r="C280" s="227"/>
      <c r="D280" s="226"/>
      <c r="E280" s="226"/>
      <c r="F280" s="90"/>
    </row>
    <row r="281" ht="22.5" customHeight="1">
      <c r="A281" s="233"/>
      <c r="B281" s="227"/>
      <c r="C281" s="227"/>
      <c r="D281" s="226"/>
      <c r="E281" s="226"/>
      <c r="F281" s="90"/>
    </row>
    <row r="282" ht="22.5" customHeight="1">
      <c r="A282" s="233"/>
      <c r="B282" s="227"/>
      <c r="C282" s="227"/>
      <c r="D282" s="226"/>
      <c r="E282" s="226"/>
      <c r="F282" s="90"/>
    </row>
    <row r="283" ht="22.5" customHeight="1">
      <c r="A283" s="233"/>
      <c r="B283" s="227"/>
      <c r="C283" s="227"/>
      <c r="D283" s="226"/>
      <c r="E283" s="226"/>
      <c r="F283" s="90"/>
    </row>
    <row r="284" ht="22.5" customHeight="1">
      <c r="A284" s="233"/>
      <c r="B284" s="227"/>
      <c r="C284" s="227"/>
      <c r="D284" s="226"/>
      <c r="E284" s="226"/>
      <c r="F284" s="90"/>
    </row>
    <row r="285" ht="22.5" customHeight="1">
      <c r="A285" s="233"/>
      <c r="B285" s="227"/>
      <c r="C285" s="227"/>
      <c r="D285" s="226"/>
      <c r="E285" s="226"/>
      <c r="F285" s="90"/>
    </row>
    <row r="286" ht="22.5" customHeight="1">
      <c r="A286" s="233"/>
      <c r="B286" s="227"/>
      <c r="C286" s="227"/>
      <c r="D286" s="226"/>
      <c r="E286" s="226"/>
      <c r="F286" s="90"/>
    </row>
    <row r="287" ht="22.5" customHeight="1">
      <c r="A287" s="233"/>
      <c r="B287" s="227"/>
      <c r="C287" s="227"/>
      <c r="D287" s="226"/>
      <c r="E287" s="226"/>
      <c r="F287" s="90"/>
    </row>
    <row r="288" ht="22.5" customHeight="1">
      <c r="A288" s="233"/>
      <c r="B288" s="227"/>
      <c r="C288" s="227"/>
      <c r="D288" s="226"/>
      <c r="E288" s="226"/>
      <c r="F288" s="90"/>
    </row>
    <row r="289" ht="22.5" customHeight="1">
      <c r="A289" s="233"/>
      <c r="B289" s="227"/>
      <c r="C289" s="227"/>
      <c r="D289" s="226"/>
      <c r="E289" s="226"/>
      <c r="F289" s="90"/>
    </row>
    <row r="290" ht="22.5" customHeight="1">
      <c r="A290" s="233"/>
      <c r="B290" s="227"/>
      <c r="C290" s="227"/>
      <c r="D290" s="226"/>
      <c r="E290" s="226"/>
      <c r="F290" s="90"/>
    </row>
    <row r="291" ht="22.5" customHeight="1">
      <c r="A291" s="233"/>
      <c r="B291" s="227"/>
      <c r="C291" s="227"/>
      <c r="D291" s="226"/>
      <c r="E291" s="226"/>
      <c r="F291" s="90"/>
    </row>
    <row r="292" ht="22.5" customHeight="1">
      <c r="A292" s="233"/>
      <c r="B292" s="227"/>
      <c r="C292" s="227"/>
      <c r="D292" s="226"/>
      <c r="E292" s="226"/>
      <c r="F292" s="90"/>
    </row>
    <row r="293" ht="22.5" customHeight="1">
      <c r="A293" s="233"/>
      <c r="B293" s="227"/>
      <c r="C293" s="227"/>
      <c r="D293" s="226"/>
      <c r="E293" s="226"/>
      <c r="F293" s="90"/>
    </row>
    <row r="294" ht="22.5" customHeight="1">
      <c r="A294" s="233"/>
      <c r="B294" s="227"/>
      <c r="C294" s="227"/>
      <c r="D294" s="226"/>
      <c r="E294" s="226"/>
      <c r="F294" s="90"/>
    </row>
    <row r="295" ht="22.5" customHeight="1">
      <c r="A295" s="233"/>
      <c r="B295" s="227"/>
      <c r="C295" s="227"/>
      <c r="D295" s="226"/>
      <c r="E295" s="226"/>
      <c r="F295" s="90"/>
    </row>
    <row r="296" ht="22.5" customHeight="1">
      <c r="A296" s="233"/>
      <c r="B296" s="227"/>
      <c r="C296" s="227"/>
      <c r="D296" s="226"/>
      <c r="E296" s="226"/>
      <c r="F296" s="90"/>
    </row>
    <row r="297" ht="22.5" customHeight="1">
      <c r="A297" s="233"/>
      <c r="B297" s="227"/>
      <c r="C297" s="227"/>
      <c r="D297" s="226"/>
      <c r="E297" s="226"/>
      <c r="F297" s="90"/>
    </row>
    <row r="298" ht="22.5" customHeight="1">
      <c r="A298" s="233"/>
      <c r="B298" s="227"/>
      <c r="C298" s="227"/>
      <c r="D298" s="226"/>
      <c r="E298" s="226"/>
      <c r="F298" s="90"/>
    </row>
    <row r="299" ht="22.5" customHeight="1">
      <c r="A299" s="233"/>
      <c r="B299" s="227"/>
      <c r="C299" s="227"/>
      <c r="D299" s="226"/>
      <c r="E299" s="226"/>
      <c r="F299" s="90"/>
    </row>
    <row r="300" ht="22.5" customHeight="1">
      <c r="A300" s="233"/>
      <c r="B300" s="227"/>
      <c r="C300" s="227"/>
      <c r="D300" s="226"/>
      <c r="E300" s="226"/>
      <c r="F300" s="90"/>
    </row>
    <row r="301" ht="22.5" customHeight="1">
      <c r="A301" s="233"/>
      <c r="B301" s="227"/>
      <c r="C301" s="227"/>
      <c r="D301" s="226"/>
      <c r="E301" s="226"/>
      <c r="F301" s="90"/>
    </row>
    <row r="302" ht="22.5" customHeight="1">
      <c r="A302" s="233"/>
      <c r="B302" s="227"/>
      <c r="C302" s="227"/>
      <c r="D302" s="226"/>
      <c r="E302" s="226"/>
      <c r="F302" s="90"/>
    </row>
    <row r="303" ht="22.5" customHeight="1">
      <c r="A303" s="233"/>
      <c r="B303" s="227"/>
      <c r="C303" s="227"/>
      <c r="D303" s="226"/>
      <c r="E303" s="226"/>
      <c r="F303" s="90"/>
    </row>
    <row r="304" ht="22.5" customHeight="1">
      <c r="A304" s="233"/>
      <c r="B304" s="227"/>
      <c r="C304" s="227"/>
      <c r="D304" s="226"/>
      <c r="E304" s="226"/>
      <c r="F304" s="90"/>
    </row>
    <row r="305" ht="22.5" customHeight="1">
      <c r="A305" s="233"/>
      <c r="B305" s="227"/>
      <c r="C305" s="227"/>
      <c r="D305" s="226"/>
      <c r="E305" s="226"/>
      <c r="F305" s="90"/>
    </row>
    <row r="306" ht="22.5" customHeight="1">
      <c r="A306" s="233"/>
      <c r="B306" s="227"/>
      <c r="C306" s="227"/>
      <c r="D306" s="226"/>
      <c r="E306" s="226"/>
      <c r="F306" s="90"/>
    </row>
    <row r="307" ht="22.5" customHeight="1">
      <c r="A307" s="233"/>
      <c r="B307" s="227"/>
      <c r="C307" s="227"/>
      <c r="D307" s="226"/>
      <c r="E307" s="226"/>
      <c r="F307" s="90"/>
    </row>
    <row r="308" ht="22.5" customHeight="1">
      <c r="A308" s="233"/>
      <c r="B308" s="227"/>
      <c r="C308" s="227"/>
      <c r="D308" s="226"/>
      <c r="E308" s="226"/>
      <c r="F308" s="90"/>
    </row>
    <row r="309" ht="22.5" customHeight="1">
      <c r="A309" s="233"/>
      <c r="B309" s="227"/>
      <c r="C309" s="227"/>
      <c r="D309" s="226"/>
      <c r="E309" s="226"/>
      <c r="F309" s="90"/>
    </row>
    <row r="310" ht="22.5" customHeight="1">
      <c r="A310" s="233"/>
      <c r="B310" s="227"/>
      <c r="C310" s="227"/>
      <c r="D310" s="226"/>
      <c r="E310" s="226"/>
      <c r="F310" s="90"/>
    </row>
    <row r="311" ht="22.5" customHeight="1">
      <c r="A311" s="233"/>
      <c r="B311" s="227"/>
      <c r="C311" s="227"/>
      <c r="D311" s="226"/>
      <c r="E311" s="226"/>
      <c r="F311" s="90"/>
    </row>
    <row r="312" ht="22.5" customHeight="1">
      <c r="A312" s="233"/>
      <c r="B312" s="227"/>
      <c r="C312" s="227"/>
      <c r="D312" s="226"/>
      <c r="E312" s="226"/>
      <c r="F312" s="90"/>
    </row>
    <row r="313" ht="22.5" customHeight="1">
      <c r="A313" s="233"/>
      <c r="B313" s="227"/>
      <c r="C313" s="227"/>
      <c r="D313" s="226"/>
      <c r="E313" s="226"/>
      <c r="F313" s="90"/>
    </row>
    <row r="314" ht="22.5" customHeight="1">
      <c r="A314" s="233"/>
      <c r="B314" s="227"/>
      <c r="C314" s="227"/>
      <c r="D314" s="226"/>
      <c r="E314" s="226"/>
      <c r="F314" s="90"/>
    </row>
    <row r="315" ht="22.5" customHeight="1">
      <c r="A315" s="233"/>
      <c r="B315" s="227"/>
      <c r="C315" s="227"/>
      <c r="D315" s="226"/>
      <c r="E315" s="226"/>
      <c r="F315" s="90"/>
    </row>
    <row r="316" ht="22.5" customHeight="1">
      <c r="A316" s="233"/>
      <c r="B316" s="227"/>
      <c r="C316" s="227"/>
      <c r="D316" s="226"/>
      <c r="E316" s="226"/>
      <c r="F316" s="90"/>
    </row>
    <row r="317" ht="22.5" customHeight="1">
      <c r="A317" s="233"/>
      <c r="B317" s="227"/>
      <c r="C317" s="227"/>
      <c r="D317" s="226"/>
      <c r="E317" s="226"/>
      <c r="F317" s="90"/>
    </row>
    <row r="318" ht="22.5" customHeight="1">
      <c r="A318" s="233"/>
      <c r="B318" s="227"/>
      <c r="C318" s="227"/>
      <c r="D318" s="226"/>
      <c r="E318" s="226"/>
      <c r="F318" s="90"/>
    </row>
    <row r="319" ht="22.5" customHeight="1">
      <c r="A319" s="233"/>
      <c r="B319" s="227"/>
      <c r="C319" s="227"/>
      <c r="D319" s="226"/>
      <c r="E319" s="226"/>
      <c r="F319" s="90"/>
    </row>
    <row r="320" ht="22.5" customHeight="1">
      <c r="A320" s="233"/>
      <c r="B320" s="227"/>
      <c r="C320" s="227"/>
      <c r="D320" s="226"/>
      <c r="E320" s="226"/>
      <c r="F320" s="90"/>
    </row>
    <row r="321" ht="22.5" customHeight="1">
      <c r="A321" s="233"/>
      <c r="B321" s="227"/>
      <c r="C321" s="227"/>
      <c r="D321" s="226"/>
      <c r="E321" s="226"/>
      <c r="F321" s="90"/>
    </row>
    <row r="322" ht="22.5" customHeight="1">
      <c r="A322" s="233"/>
      <c r="B322" s="227"/>
      <c r="C322" s="227"/>
      <c r="D322" s="226"/>
      <c r="E322" s="226"/>
      <c r="F322" s="90"/>
    </row>
    <row r="323" ht="22.5" customHeight="1">
      <c r="A323" s="233"/>
      <c r="B323" s="227"/>
      <c r="C323" s="227"/>
      <c r="D323" s="226"/>
      <c r="E323" s="226"/>
      <c r="F323" s="90"/>
    </row>
    <row r="324" ht="22.5" customHeight="1">
      <c r="A324" s="233"/>
      <c r="B324" s="227"/>
      <c r="C324" s="227"/>
      <c r="D324" s="226"/>
      <c r="E324" s="226"/>
      <c r="F324" s="90"/>
    </row>
    <row r="325" ht="22.5" customHeight="1">
      <c r="A325" s="233"/>
      <c r="B325" s="227"/>
      <c r="C325" s="227"/>
      <c r="D325" s="226"/>
      <c r="E325" s="226"/>
      <c r="F325" s="90"/>
    </row>
    <row r="326" ht="22.5" customHeight="1">
      <c r="A326" s="233"/>
      <c r="B326" s="227"/>
      <c r="C326" s="227"/>
      <c r="D326" s="226"/>
      <c r="E326" s="226"/>
      <c r="F326" s="90"/>
    </row>
    <row r="327" ht="22.5" customHeight="1">
      <c r="A327" s="233"/>
      <c r="B327" s="227"/>
      <c r="C327" s="227"/>
      <c r="D327" s="226"/>
      <c r="E327" s="226"/>
      <c r="F327" s="90"/>
    </row>
    <row r="328" ht="22.5" customHeight="1">
      <c r="A328" s="233"/>
      <c r="B328" s="227"/>
      <c r="C328" s="227"/>
      <c r="D328" s="226"/>
      <c r="E328" s="226"/>
      <c r="F328" s="90"/>
    </row>
    <row r="329" ht="22.5" customHeight="1">
      <c r="A329" s="233"/>
      <c r="B329" s="227"/>
      <c r="C329" s="227"/>
      <c r="D329" s="226"/>
      <c r="E329" s="226"/>
      <c r="F329" s="90"/>
    </row>
    <row r="330" ht="22.5" customHeight="1">
      <c r="A330" s="233"/>
      <c r="B330" s="227"/>
      <c r="C330" s="227"/>
      <c r="D330" s="226"/>
      <c r="E330" s="226"/>
      <c r="F330" s="90"/>
    </row>
    <row r="331" ht="22.5" customHeight="1">
      <c r="A331" s="233"/>
      <c r="B331" s="227"/>
      <c r="C331" s="227"/>
      <c r="D331" s="226"/>
      <c r="E331" s="226"/>
      <c r="F331" s="90"/>
    </row>
    <row r="332" ht="22.5" customHeight="1">
      <c r="A332" s="233"/>
      <c r="B332" s="227"/>
      <c r="C332" s="227"/>
      <c r="D332" s="226"/>
      <c r="E332" s="226"/>
      <c r="F332" s="90"/>
    </row>
    <row r="333" ht="22.5" customHeight="1">
      <c r="A333" s="233"/>
      <c r="B333" s="227"/>
      <c r="C333" s="227"/>
      <c r="D333" s="226"/>
      <c r="E333" s="226"/>
      <c r="F333" s="90"/>
    </row>
    <row r="334" ht="22.5" customHeight="1">
      <c r="A334" s="233"/>
      <c r="B334" s="227"/>
      <c r="C334" s="227"/>
      <c r="D334" s="226"/>
      <c r="E334" s="226"/>
      <c r="F334" s="90"/>
    </row>
    <row r="335" ht="22.5" customHeight="1">
      <c r="A335" s="233"/>
      <c r="B335" s="227"/>
      <c r="C335" s="227"/>
      <c r="D335" s="226"/>
      <c r="E335" s="226"/>
      <c r="F335" s="90"/>
    </row>
    <row r="336" ht="22.5" customHeight="1">
      <c r="A336" s="233"/>
      <c r="B336" s="227"/>
      <c r="C336" s="227"/>
      <c r="D336" s="226"/>
      <c r="E336" s="226"/>
      <c r="F336" s="90"/>
    </row>
    <row r="337" ht="22.5" customHeight="1">
      <c r="A337" s="233"/>
      <c r="B337" s="227"/>
      <c r="C337" s="227"/>
      <c r="D337" s="226"/>
      <c r="E337" s="226"/>
      <c r="F337" s="90"/>
    </row>
    <row r="338" ht="22.5" customHeight="1">
      <c r="A338" s="233"/>
      <c r="B338" s="227"/>
      <c r="C338" s="227"/>
      <c r="D338" s="226"/>
      <c r="E338" s="226"/>
      <c r="F338" s="90"/>
    </row>
    <row r="339" ht="22.5" customHeight="1">
      <c r="A339" s="233"/>
      <c r="B339" s="227"/>
      <c r="C339" s="227"/>
      <c r="D339" s="226"/>
      <c r="E339" s="226"/>
      <c r="F339" s="90"/>
    </row>
    <row r="340" ht="22.5" customHeight="1">
      <c r="A340" s="233"/>
      <c r="B340" s="227"/>
      <c r="C340" s="227"/>
      <c r="D340" s="226"/>
      <c r="E340" s="226"/>
      <c r="F340" s="90"/>
    </row>
    <row r="341" ht="22.5" customHeight="1">
      <c r="A341" s="233"/>
      <c r="B341" s="227"/>
      <c r="C341" s="227"/>
      <c r="D341" s="226"/>
      <c r="E341" s="226"/>
      <c r="F341" s="90"/>
    </row>
    <row r="342" ht="22.5" customHeight="1">
      <c r="A342" s="233"/>
      <c r="B342" s="227"/>
      <c r="C342" s="227"/>
      <c r="D342" s="226"/>
      <c r="E342" s="226"/>
      <c r="F342" s="90"/>
    </row>
    <row r="343" ht="22.5" customHeight="1">
      <c r="A343" s="233"/>
      <c r="B343" s="227"/>
      <c r="C343" s="227"/>
      <c r="D343" s="226"/>
      <c r="E343" s="226"/>
      <c r="F343" s="90"/>
    </row>
    <row r="344" ht="22.5" customHeight="1">
      <c r="A344" s="233"/>
      <c r="B344" s="227"/>
      <c r="C344" s="227"/>
      <c r="D344" s="226"/>
      <c r="E344" s="226"/>
      <c r="F344" s="90"/>
    </row>
    <row r="345" ht="22.5" customHeight="1">
      <c r="A345" s="233"/>
      <c r="B345" s="227"/>
      <c r="C345" s="227"/>
      <c r="D345" s="226"/>
      <c r="E345" s="226"/>
      <c r="F345" s="90"/>
    </row>
    <row r="346" ht="22.5" customHeight="1">
      <c r="A346" s="233"/>
      <c r="B346" s="227"/>
      <c r="C346" s="227"/>
      <c r="D346" s="226"/>
      <c r="E346" s="226"/>
      <c r="F346" s="90"/>
    </row>
    <row r="347" ht="22.5" customHeight="1">
      <c r="A347" s="233"/>
      <c r="B347" s="227"/>
      <c r="C347" s="227"/>
      <c r="D347" s="226"/>
      <c r="E347" s="226"/>
      <c r="F347" s="90"/>
    </row>
    <row r="348" ht="22.5" customHeight="1">
      <c r="A348" s="233"/>
      <c r="B348" s="227"/>
      <c r="C348" s="227"/>
      <c r="D348" s="226"/>
      <c r="E348" s="226"/>
      <c r="F348" s="90"/>
    </row>
    <row r="349" ht="22.5" customHeight="1">
      <c r="A349" s="233"/>
      <c r="B349" s="227"/>
      <c r="C349" s="227"/>
      <c r="D349" s="226"/>
      <c r="E349" s="226"/>
      <c r="F349" s="90"/>
    </row>
    <row r="350" ht="22.5" customHeight="1">
      <c r="A350" s="233"/>
      <c r="B350" s="227"/>
      <c r="C350" s="227"/>
      <c r="D350" s="226"/>
      <c r="E350" s="226"/>
      <c r="F350" s="90"/>
    </row>
    <row r="351" ht="22.5" customHeight="1">
      <c r="A351" s="233"/>
      <c r="B351" s="227"/>
      <c r="C351" s="227"/>
      <c r="D351" s="226"/>
      <c r="E351" s="226"/>
      <c r="F351" s="90"/>
    </row>
    <row r="352" ht="22.5" customHeight="1">
      <c r="A352" s="233"/>
      <c r="B352" s="227"/>
      <c r="C352" s="227"/>
      <c r="D352" s="226"/>
      <c r="E352" s="226"/>
      <c r="F352" s="90"/>
    </row>
    <row r="353" ht="22.5" customHeight="1">
      <c r="A353" s="233"/>
      <c r="B353" s="227"/>
      <c r="C353" s="227"/>
      <c r="D353" s="226"/>
      <c r="E353" s="226"/>
      <c r="F353" s="90"/>
    </row>
    <row r="354" ht="22.5" customHeight="1">
      <c r="A354" s="233"/>
      <c r="B354" s="227"/>
      <c r="C354" s="227"/>
      <c r="D354" s="226"/>
      <c r="E354" s="226"/>
      <c r="F354" s="90"/>
    </row>
    <row r="355" ht="22.5" customHeight="1">
      <c r="A355" s="233"/>
      <c r="B355" s="227"/>
      <c r="C355" s="227"/>
      <c r="D355" s="226"/>
      <c r="E355" s="226"/>
      <c r="F355" s="90"/>
    </row>
    <row r="356" ht="22.5" customHeight="1">
      <c r="A356" s="233"/>
      <c r="B356" s="227"/>
      <c r="C356" s="227"/>
      <c r="D356" s="226"/>
      <c r="E356" s="226"/>
      <c r="F356" s="90"/>
    </row>
    <row r="357" ht="22.5" customHeight="1">
      <c r="A357" s="233"/>
      <c r="B357" s="227"/>
      <c r="C357" s="227"/>
      <c r="D357" s="226"/>
      <c r="E357" s="226"/>
      <c r="F357" s="90"/>
    </row>
    <row r="358" ht="22.5" customHeight="1">
      <c r="A358" s="233"/>
      <c r="B358" s="227"/>
      <c r="C358" s="227"/>
      <c r="D358" s="226"/>
      <c r="E358" s="226"/>
      <c r="F358" s="90"/>
    </row>
    <row r="359" ht="22.5" customHeight="1">
      <c r="A359" s="233"/>
      <c r="B359" s="227"/>
      <c r="C359" s="227"/>
      <c r="D359" s="226"/>
      <c r="E359" s="226"/>
      <c r="F359" s="90"/>
    </row>
    <row r="360" ht="22.5" customHeight="1">
      <c r="A360" s="233"/>
      <c r="B360" s="227"/>
      <c r="C360" s="227"/>
      <c r="D360" s="226"/>
      <c r="E360" s="226"/>
      <c r="F360" s="90"/>
    </row>
    <row r="361" ht="22.5" customHeight="1">
      <c r="A361" s="233"/>
      <c r="B361" s="227"/>
      <c r="C361" s="227"/>
      <c r="D361" s="226"/>
      <c r="E361" s="226"/>
      <c r="F361" s="90"/>
    </row>
    <row r="362" ht="22.5" customHeight="1">
      <c r="A362" s="233"/>
      <c r="B362" s="227"/>
      <c r="C362" s="227"/>
      <c r="D362" s="226"/>
      <c r="E362" s="226"/>
      <c r="F362" s="90"/>
    </row>
    <row r="363" ht="22.5" customHeight="1">
      <c r="A363" s="233"/>
      <c r="B363" s="227"/>
      <c r="C363" s="227"/>
      <c r="D363" s="226"/>
      <c r="E363" s="226"/>
      <c r="F363" s="90"/>
    </row>
    <row r="364" ht="22.5" customHeight="1">
      <c r="A364" s="233"/>
      <c r="B364" s="227"/>
      <c r="C364" s="227"/>
      <c r="D364" s="226"/>
      <c r="E364" s="226"/>
      <c r="F364" s="90"/>
    </row>
    <row r="365" ht="22.5" customHeight="1">
      <c r="A365" s="233"/>
      <c r="B365" s="227"/>
      <c r="C365" s="227"/>
      <c r="D365" s="226"/>
      <c r="E365" s="226"/>
      <c r="F365" s="90"/>
    </row>
    <row r="366" ht="22.5" customHeight="1">
      <c r="A366" s="233"/>
      <c r="B366" s="227"/>
      <c r="C366" s="227"/>
      <c r="D366" s="226"/>
      <c r="E366" s="226"/>
      <c r="F366" s="90"/>
    </row>
    <row r="367" ht="22.5" customHeight="1">
      <c r="A367" s="233"/>
      <c r="B367" s="227"/>
      <c r="C367" s="227"/>
      <c r="D367" s="226"/>
      <c r="E367" s="226"/>
      <c r="F367" s="90"/>
    </row>
    <row r="368" ht="22.5" customHeight="1">
      <c r="A368" s="233"/>
      <c r="B368" s="227"/>
      <c r="C368" s="227"/>
      <c r="D368" s="226"/>
      <c r="E368" s="226"/>
      <c r="F368" s="90"/>
    </row>
    <row r="369" ht="22.5" customHeight="1">
      <c r="A369" s="233"/>
      <c r="B369" s="227"/>
      <c r="C369" s="227"/>
      <c r="D369" s="226"/>
      <c r="E369" s="226"/>
      <c r="F369" s="90"/>
    </row>
    <row r="370" ht="22.5" customHeight="1">
      <c r="A370" s="233"/>
      <c r="B370" s="227"/>
      <c r="C370" s="227"/>
      <c r="D370" s="226"/>
      <c r="E370" s="226"/>
      <c r="F370" s="90"/>
    </row>
    <row r="371" ht="22.5" customHeight="1">
      <c r="A371" s="233"/>
      <c r="B371" s="227"/>
      <c r="C371" s="227"/>
      <c r="D371" s="226"/>
      <c r="E371" s="226"/>
      <c r="F371" s="90"/>
    </row>
    <row r="372" ht="22.5" customHeight="1">
      <c r="A372" s="233"/>
      <c r="B372" s="227"/>
      <c r="C372" s="227"/>
      <c r="D372" s="226"/>
      <c r="E372" s="226"/>
      <c r="F372" s="90"/>
    </row>
    <row r="373" ht="22.5" customHeight="1">
      <c r="A373" s="233"/>
      <c r="B373" s="227"/>
      <c r="C373" s="227"/>
      <c r="D373" s="226"/>
      <c r="E373" s="226"/>
      <c r="F373" s="90"/>
    </row>
    <row r="374" ht="22.5" customHeight="1">
      <c r="A374" s="233"/>
      <c r="B374" s="227"/>
      <c r="C374" s="227"/>
      <c r="D374" s="226"/>
      <c r="E374" s="226"/>
      <c r="F374" s="90"/>
    </row>
    <row r="375" ht="22.5" customHeight="1">
      <c r="A375" s="233"/>
      <c r="B375" s="227"/>
      <c r="C375" s="227"/>
      <c r="D375" s="226"/>
      <c r="E375" s="226"/>
      <c r="F375" s="90"/>
    </row>
    <row r="376" ht="22.5" customHeight="1">
      <c r="A376" s="233"/>
      <c r="B376" s="227"/>
      <c r="C376" s="227"/>
      <c r="D376" s="226"/>
      <c r="E376" s="226"/>
      <c r="F376" s="90"/>
    </row>
    <row r="377" ht="22.5" customHeight="1">
      <c r="A377" s="233"/>
      <c r="B377" s="227"/>
      <c r="C377" s="227"/>
      <c r="D377" s="226"/>
      <c r="E377" s="226"/>
      <c r="F377" s="90"/>
    </row>
    <row r="378" ht="22.5" customHeight="1">
      <c r="A378" s="233"/>
      <c r="B378" s="227"/>
      <c r="C378" s="227"/>
      <c r="D378" s="226"/>
      <c r="E378" s="226"/>
      <c r="F378" s="90"/>
    </row>
    <row r="379" ht="22.5" customHeight="1">
      <c r="A379" s="233"/>
      <c r="B379" s="227"/>
      <c r="C379" s="227"/>
      <c r="D379" s="226"/>
      <c r="E379" s="226"/>
      <c r="F379" s="90"/>
    </row>
    <row r="380" ht="22.5" customHeight="1">
      <c r="A380" s="233"/>
      <c r="B380" s="227"/>
      <c r="C380" s="227"/>
      <c r="D380" s="226"/>
      <c r="E380" s="226"/>
      <c r="F380" s="90"/>
    </row>
    <row r="381" ht="22.5" customHeight="1">
      <c r="A381" s="233"/>
      <c r="B381" s="227"/>
      <c r="C381" s="227"/>
      <c r="D381" s="226"/>
      <c r="E381" s="226"/>
      <c r="F381" s="90"/>
    </row>
    <row r="382" ht="22.5" customHeight="1">
      <c r="A382" s="233"/>
      <c r="B382" s="227"/>
      <c r="C382" s="227"/>
      <c r="D382" s="226"/>
      <c r="E382" s="226"/>
      <c r="F382" s="90"/>
    </row>
    <row r="383" ht="22.5" customHeight="1">
      <c r="A383" s="233"/>
      <c r="B383" s="227"/>
      <c r="C383" s="227"/>
      <c r="D383" s="226"/>
      <c r="E383" s="226"/>
      <c r="F383" s="90"/>
    </row>
    <row r="384" ht="22.5" customHeight="1">
      <c r="A384" s="233"/>
      <c r="B384" s="227"/>
      <c r="C384" s="227"/>
      <c r="D384" s="226"/>
      <c r="E384" s="226"/>
      <c r="F384" s="90"/>
    </row>
    <row r="385" ht="22.5" customHeight="1">
      <c r="A385" s="233"/>
      <c r="B385" s="227"/>
      <c r="C385" s="227"/>
      <c r="D385" s="226"/>
      <c r="E385" s="226"/>
      <c r="F385" s="90"/>
    </row>
    <row r="386" ht="22.5" customHeight="1">
      <c r="A386" s="233"/>
      <c r="B386" s="227"/>
      <c r="C386" s="227"/>
      <c r="D386" s="226"/>
      <c r="E386" s="226"/>
      <c r="F386" s="90"/>
    </row>
    <row r="387" ht="22.5" customHeight="1">
      <c r="A387" s="233"/>
      <c r="B387" s="227"/>
      <c r="C387" s="227"/>
      <c r="D387" s="226"/>
      <c r="E387" s="226"/>
      <c r="F387" s="90"/>
    </row>
    <row r="388" ht="22.5" customHeight="1">
      <c r="A388" s="233"/>
      <c r="B388" s="227"/>
      <c r="C388" s="227"/>
      <c r="D388" s="226"/>
      <c r="E388" s="226"/>
      <c r="F388" s="90"/>
    </row>
    <row r="389" ht="22.5" customHeight="1">
      <c r="A389" s="233"/>
      <c r="B389" s="227"/>
      <c r="C389" s="227"/>
      <c r="D389" s="226"/>
      <c r="E389" s="226"/>
      <c r="F389" s="90"/>
    </row>
    <row r="390" ht="22.5" customHeight="1">
      <c r="A390" s="233"/>
      <c r="B390" s="227"/>
      <c r="C390" s="227"/>
      <c r="D390" s="226"/>
      <c r="E390" s="226"/>
      <c r="F390" s="90"/>
    </row>
    <row r="391" ht="22.5" customHeight="1">
      <c r="A391" s="233"/>
      <c r="B391" s="227"/>
      <c r="C391" s="227"/>
      <c r="D391" s="226"/>
      <c r="E391" s="226"/>
      <c r="F391" s="90"/>
    </row>
    <row r="392" ht="22.5" customHeight="1">
      <c r="A392" s="233"/>
      <c r="B392" s="227"/>
      <c r="C392" s="227"/>
      <c r="D392" s="226"/>
      <c r="E392" s="226"/>
      <c r="F392" s="90"/>
    </row>
    <row r="393" ht="22.5" customHeight="1">
      <c r="A393" s="233"/>
      <c r="B393" s="227"/>
      <c r="C393" s="227"/>
      <c r="D393" s="226"/>
      <c r="E393" s="226"/>
      <c r="F393" s="90"/>
    </row>
    <row r="394" ht="22.5" customHeight="1">
      <c r="A394" s="233"/>
      <c r="B394" s="227"/>
      <c r="C394" s="227"/>
      <c r="D394" s="226"/>
      <c r="E394" s="226"/>
      <c r="F394" s="90"/>
    </row>
    <row r="395" ht="22.5" customHeight="1">
      <c r="A395" s="233"/>
      <c r="B395" s="227"/>
      <c r="C395" s="227"/>
      <c r="D395" s="226"/>
      <c r="E395" s="226"/>
      <c r="F395" s="90"/>
    </row>
    <row r="396" ht="22.5" customHeight="1">
      <c r="A396" s="233"/>
      <c r="B396" s="227"/>
      <c r="C396" s="227"/>
      <c r="D396" s="226"/>
      <c r="E396" s="226"/>
      <c r="F396" s="90"/>
    </row>
    <row r="397" ht="22.5" customHeight="1">
      <c r="A397" s="233"/>
      <c r="B397" s="227"/>
      <c r="C397" s="227"/>
      <c r="D397" s="226"/>
      <c r="E397" s="226"/>
      <c r="F397" s="90"/>
    </row>
    <row r="398" ht="22.5" customHeight="1">
      <c r="A398" s="233"/>
      <c r="B398" s="227"/>
      <c r="C398" s="227"/>
      <c r="D398" s="226"/>
      <c r="E398" s="226"/>
      <c r="F398" s="90"/>
    </row>
    <row r="399" ht="22.5" customHeight="1">
      <c r="A399" s="233"/>
      <c r="B399" s="227"/>
      <c r="C399" s="227"/>
      <c r="D399" s="226"/>
      <c r="E399" s="226"/>
      <c r="F399" s="90"/>
    </row>
    <row r="400" ht="22.5" customHeight="1">
      <c r="A400" s="233"/>
      <c r="B400" s="227"/>
      <c r="C400" s="227"/>
      <c r="D400" s="226"/>
      <c r="E400" s="226"/>
      <c r="F400" s="90"/>
    </row>
    <row r="401" ht="22.5" customHeight="1">
      <c r="A401" s="233"/>
      <c r="B401" s="227"/>
      <c r="C401" s="227"/>
      <c r="D401" s="226"/>
      <c r="E401" s="226"/>
      <c r="F401" s="90"/>
    </row>
    <row r="402" ht="22.5" customHeight="1">
      <c r="A402" s="233"/>
      <c r="B402" s="227"/>
      <c r="C402" s="227"/>
      <c r="D402" s="226"/>
      <c r="E402" s="226"/>
      <c r="F402" s="90"/>
    </row>
    <row r="403" ht="22.5" customHeight="1">
      <c r="A403" s="233"/>
      <c r="B403" s="227"/>
      <c r="C403" s="227"/>
      <c r="D403" s="226"/>
      <c r="E403" s="226"/>
      <c r="F403" s="90"/>
    </row>
    <row r="404" ht="22.5" customHeight="1">
      <c r="A404" s="233"/>
      <c r="B404" s="227"/>
      <c r="C404" s="227"/>
      <c r="D404" s="226"/>
      <c r="E404" s="226"/>
      <c r="F404" s="90"/>
    </row>
    <row r="405" ht="22.5" customHeight="1">
      <c r="A405" s="233"/>
      <c r="B405" s="227"/>
      <c r="C405" s="227"/>
      <c r="D405" s="226"/>
      <c r="E405" s="226"/>
      <c r="F405" s="90"/>
    </row>
    <row r="406" ht="22.5" customHeight="1">
      <c r="A406" s="233"/>
      <c r="B406" s="227"/>
      <c r="C406" s="227"/>
      <c r="D406" s="226"/>
      <c r="E406" s="226"/>
      <c r="F406" s="90"/>
    </row>
    <row r="407" ht="22.5" customHeight="1">
      <c r="A407" s="233"/>
      <c r="B407" s="227"/>
      <c r="C407" s="227"/>
      <c r="D407" s="226"/>
      <c r="E407" s="226"/>
      <c r="F407" s="90"/>
    </row>
    <row r="408" ht="22.5" customHeight="1">
      <c r="A408" s="233"/>
      <c r="B408" s="227"/>
      <c r="C408" s="227"/>
      <c r="D408" s="226"/>
      <c r="E408" s="226"/>
      <c r="F408" s="90"/>
    </row>
    <row r="409" ht="22.5" customHeight="1">
      <c r="A409" s="233"/>
      <c r="B409" s="227"/>
      <c r="C409" s="227"/>
      <c r="D409" s="226"/>
      <c r="E409" s="226"/>
      <c r="F409" s="90"/>
    </row>
    <row r="410" ht="22.5" customHeight="1">
      <c r="A410" s="233"/>
      <c r="B410" s="227"/>
      <c r="C410" s="227"/>
      <c r="D410" s="226"/>
      <c r="E410" s="226"/>
      <c r="F410" s="90"/>
    </row>
    <row r="411" ht="22.5" customHeight="1">
      <c r="A411" s="233"/>
      <c r="B411" s="227"/>
      <c r="C411" s="227"/>
      <c r="D411" s="226"/>
      <c r="E411" s="226"/>
      <c r="F411" s="90"/>
    </row>
    <row r="412" ht="22.5" customHeight="1">
      <c r="A412" s="233"/>
      <c r="B412" s="227"/>
      <c r="C412" s="227"/>
      <c r="D412" s="226"/>
      <c r="E412" s="226"/>
      <c r="F412" s="90"/>
    </row>
    <row r="413" ht="22.5" customHeight="1">
      <c r="A413" s="233"/>
      <c r="B413" s="227"/>
      <c r="C413" s="227"/>
      <c r="D413" s="226"/>
      <c r="E413" s="226"/>
      <c r="F413" s="90"/>
    </row>
    <row r="414" ht="22.5" customHeight="1">
      <c r="A414" s="233"/>
      <c r="B414" s="227"/>
      <c r="C414" s="227"/>
      <c r="D414" s="226"/>
      <c r="E414" s="226"/>
      <c r="F414" s="90"/>
    </row>
    <row r="415" ht="22.5" customHeight="1">
      <c r="A415" s="233"/>
      <c r="B415" s="227"/>
      <c r="C415" s="227"/>
      <c r="D415" s="226"/>
      <c r="E415" s="226"/>
      <c r="F415" s="90"/>
    </row>
    <row r="416" ht="22.5" customHeight="1">
      <c r="A416" s="233"/>
      <c r="B416" s="227"/>
      <c r="C416" s="227"/>
      <c r="D416" s="226"/>
      <c r="E416" s="226"/>
      <c r="F416" s="90"/>
    </row>
    <row r="417" ht="22.5" customHeight="1">
      <c r="A417" s="233"/>
      <c r="B417" s="227"/>
      <c r="C417" s="227"/>
      <c r="D417" s="226"/>
      <c r="E417" s="226"/>
      <c r="F417" s="90"/>
    </row>
    <row r="418" ht="22.5" customHeight="1">
      <c r="A418" s="233"/>
      <c r="B418" s="227"/>
      <c r="C418" s="227"/>
      <c r="D418" s="226"/>
      <c r="E418" s="226"/>
      <c r="F418" s="90"/>
    </row>
    <row r="419" ht="22.5" customHeight="1">
      <c r="A419" s="233"/>
      <c r="B419" s="227"/>
      <c r="C419" s="227"/>
      <c r="D419" s="226"/>
      <c r="E419" s="226"/>
      <c r="F419" s="90"/>
    </row>
    <row r="420" ht="22.5" customHeight="1">
      <c r="A420" s="233"/>
      <c r="B420" s="227"/>
      <c r="C420" s="227"/>
      <c r="D420" s="226"/>
      <c r="E420" s="226"/>
      <c r="F420" s="90"/>
    </row>
    <row r="421" ht="22.5" customHeight="1">
      <c r="A421" s="233"/>
      <c r="B421" s="227"/>
      <c r="C421" s="227"/>
      <c r="D421" s="226"/>
      <c r="E421" s="226"/>
      <c r="F421" s="90"/>
    </row>
    <row r="422" ht="22.5" customHeight="1">
      <c r="A422" s="233"/>
      <c r="B422" s="227"/>
      <c r="C422" s="227"/>
      <c r="D422" s="226"/>
      <c r="E422" s="226"/>
      <c r="F422" s="90"/>
    </row>
    <row r="423" ht="22.5" customHeight="1">
      <c r="A423" s="233"/>
      <c r="B423" s="227"/>
      <c r="C423" s="227"/>
      <c r="D423" s="226"/>
      <c r="E423" s="226"/>
      <c r="F423" s="90"/>
    </row>
    <row r="424" ht="22.5" customHeight="1">
      <c r="A424" s="233"/>
      <c r="B424" s="227"/>
      <c r="C424" s="227"/>
      <c r="D424" s="226"/>
      <c r="E424" s="226"/>
      <c r="F424" s="90"/>
    </row>
    <row r="425" ht="22.5" customHeight="1">
      <c r="A425" s="233"/>
      <c r="B425" s="227"/>
      <c r="C425" s="227"/>
      <c r="D425" s="226"/>
      <c r="E425" s="226"/>
      <c r="F425" s="90"/>
    </row>
    <row r="426" ht="22.5" customHeight="1">
      <c r="A426" s="233"/>
      <c r="B426" s="227"/>
      <c r="C426" s="227"/>
      <c r="D426" s="226"/>
      <c r="E426" s="226"/>
      <c r="F426" s="90"/>
    </row>
    <row r="427" ht="22.5" customHeight="1">
      <c r="A427" s="233"/>
      <c r="B427" s="227"/>
      <c r="C427" s="227"/>
      <c r="D427" s="226"/>
      <c r="E427" s="226"/>
      <c r="F427" s="90"/>
    </row>
    <row r="428" ht="22.5" customHeight="1">
      <c r="A428" s="233"/>
      <c r="B428" s="227"/>
      <c r="C428" s="227"/>
      <c r="D428" s="226"/>
      <c r="E428" s="226"/>
      <c r="F428" s="90"/>
    </row>
    <row r="429" ht="22.5" customHeight="1">
      <c r="A429" s="233"/>
      <c r="B429" s="227"/>
      <c r="C429" s="227"/>
      <c r="D429" s="226"/>
      <c r="E429" s="226"/>
      <c r="F429" s="90"/>
    </row>
    <row r="430" ht="22.5" customHeight="1">
      <c r="A430" s="233"/>
      <c r="B430" s="227"/>
      <c r="C430" s="227"/>
      <c r="D430" s="226"/>
      <c r="E430" s="226"/>
      <c r="F430" s="90"/>
    </row>
    <row r="431" ht="22.5" customHeight="1">
      <c r="A431" s="233"/>
      <c r="B431" s="227"/>
      <c r="C431" s="227"/>
      <c r="D431" s="226"/>
      <c r="E431" s="226"/>
      <c r="F431" s="90"/>
    </row>
    <row r="432" ht="22.5" customHeight="1">
      <c r="A432" s="233"/>
      <c r="B432" s="227"/>
      <c r="C432" s="227"/>
      <c r="D432" s="226"/>
      <c r="E432" s="226"/>
      <c r="F432" s="90"/>
    </row>
    <row r="433" ht="22.5" customHeight="1">
      <c r="A433" s="233"/>
      <c r="B433" s="227"/>
      <c r="C433" s="227"/>
      <c r="D433" s="226"/>
      <c r="E433" s="226"/>
      <c r="F433" s="90"/>
    </row>
    <row r="434" ht="22.5" customHeight="1">
      <c r="A434" s="233"/>
      <c r="B434" s="227"/>
      <c r="C434" s="227"/>
      <c r="D434" s="226"/>
      <c r="E434" s="226"/>
      <c r="F434" s="90"/>
    </row>
    <row r="435" ht="22.5" customHeight="1">
      <c r="A435" s="233"/>
      <c r="B435" s="227"/>
      <c r="C435" s="227"/>
      <c r="D435" s="226"/>
      <c r="E435" s="226"/>
      <c r="F435" s="90"/>
    </row>
    <row r="436" ht="22.5" customHeight="1">
      <c r="A436" s="233"/>
      <c r="B436" s="227"/>
      <c r="C436" s="227"/>
      <c r="D436" s="226"/>
      <c r="E436" s="226"/>
      <c r="F436" s="90"/>
    </row>
    <row r="437" ht="22.5" customHeight="1">
      <c r="A437" s="233"/>
      <c r="B437" s="227"/>
      <c r="C437" s="227"/>
      <c r="D437" s="226"/>
      <c r="E437" s="226"/>
      <c r="F437" s="90"/>
    </row>
    <row r="438" ht="22.5" customHeight="1">
      <c r="A438" s="233"/>
      <c r="B438" s="227"/>
      <c r="C438" s="227"/>
      <c r="D438" s="226"/>
      <c r="E438" s="226"/>
      <c r="F438" s="90"/>
    </row>
    <row r="439" ht="22.5" customHeight="1">
      <c r="A439" s="233"/>
      <c r="B439" s="227"/>
      <c r="C439" s="227"/>
      <c r="D439" s="226"/>
      <c r="E439" s="226"/>
      <c r="F439" s="90"/>
    </row>
    <row r="440" ht="22.5" customHeight="1">
      <c r="A440" s="233"/>
      <c r="B440" s="227"/>
      <c r="C440" s="227"/>
      <c r="D440" s="226"/>
      <c r="E440" s="226"/>
      <c r="F440" s="90"/>
    </row>
    <row r="441" ht="22.5" customHeight="1">
      <c r="A441" s="233"/>
      <c r="B441" s="227"/>
      <c r="C441" s="227"/>
      <c r="D441" s="226"/>
      <c r="E441" s="226"/>
      <c r="F441" s="90"/>
    </row>
    <row r="442" ht="22.5" customHeight="1">
      <c r="A442" s="233"/>
      <c r="B442" s="227"/>
      <c r="C442" s="227"/>
      <c r="D442" s="226"/>
      <c r="E442" s="226"/>
      <c r="F442" s="90"/>
    </row>
    <row r="443" ht="22.5" customHeight="1">
      <c r="A443" s="233"/>
      <c r="B443" s="227"/>
      <c r="C443" s="227"/>
      <c r="D443" s="226"/>
      <c r="E443" s="226"/>
      <c r="F443" s="90"/>
    </row>
    <row r="444" ht="22.5" customHeight="1">
      <c r="A444" s="233"/>
      <c r="B444" s="227"/>
      <c r="C444" s="227"/>
      <c r="D444" s="226"/>
      <c r="E444" s="226"/>
      <c r="F444" s="90"/>
    </row>
    <row r="445" ht="22.5" customHeight="1">
      <c r="A445" s="233"/>
      <c r="B445" s="227"/>
      <c r="C445" s="227"/>
      <c r="D445" s="226"/>
      <c r="E445" s="226"/>
      <c r="F445" s="90"/>
    </row>
    <row r="446" ht="22.5" customHeight="1">
      <c r="A446" s="233"/>
      <c r="B446" s="227"/>
      <c r="C446" s="227"/>
      <c r="D446" s="226"/>
      <c r="E446" s="226"/>
      <c r="F446" s="90"/>
    </row>
    <row r="447" ht="22.5" customHeight="1">
      <c r="A447" s="233"/>
      <c r="B447" s="227"/>
      <c r="C447" s="227"/>
      <c r="D447" s="226"/>
      <c r="E447" s="226"/>
      <c r="F447" s="90"/>
    </row>
    <row r="448" ht="22.5" customHeight="1">
      <c r="A448" s="233"/>
      <c r="B448" s="227"/>
      <c r="C448" s="227"/>
      <c r="D448" s="226"/>
      <c r="E448" s="226"/>
      <c r="F448" s="90"/>
    </row>
    <row r="449" ht="22.5" customHeight="1">
      <c r="A449" s="233"/>
      <c r="B449" s="227"/>
      <c r="C449" s="227"/>
      <c r="D449" s="226"/>
      <c r="E449" s="226"/>
      <c r="F449" s="90"/>
    </row>
    <row r="450" ht="22.5" customHeight="1">
      <c r="A450" s="233"/>
      <c r="B450" s="227"/>
      <c r="C450" s="227"/>
      <c r="D450" s="226"/>
      <c r="E450" s="226"/>
      <c r="F450" s="90"/>
    </row>
    <row r="451" ht="22.5" customHeight="1">
      <c r="A451" s="233"/>
      <c r="B451" s="227"/>
      <c r="C451" s="227"/>
      <c r="D451" s="226"/>
      <c r="E451" s="226"/>
      <c r="F451" s="90"/>
    </row>
    <row r="452" ht="22.5" customHeight="1">
      <c r="A452" s="233"/>
      <c r="B452" s="227"/>
      <c r="C452" s="227"/>
      <c r="D452" s="226"/>
      <c r="E452" s="226"/>
      <c r="F452" s="90"/>
    </row>
    <row r="453" ht="22.5" customHeight="1">
      <c r="A453" s="233"/>
      <c r="B453" s="227"/>
      <c r="C453" s="227"/>
      <c r="D453" s="226"/>
      <c r="E453" s="226"/>
      <c r="F453" s="90"/>
    </row>
    <row r="454" ht="22.5" customHeight="1">
      <c r="A454" s="233"/>
      <c r="B454" s="227"/>
      <c r="C454" s="227"/>
      <c r="D454" s="226"/>
      <c r="E454" s="226"/>
      <c r="F454" s="90"/>
    </row>
    <row r="455" ht="22.5" customHeight="1">
      <c r="A455" s="233"/>
      <c r="B455" s="227"/>
      <c r="C455" s="227"/>
      <c r="D455" s="226"/>
      <c r="E455" s="226"/>
      <c r="F455" s="90"/>
    </row>
    <row r="456" ht="22.5" customHeight="1">
      <c r="A456" s="233"/>
      <c r="B456" s="227"/>
      <c r="C456" s="227"/>
      <c r="D456" s="226"/>
      <c r="E456" s="226"/>
      <c r="F456" s="90"/>
    </row>
    <row r="457" ht="22.5" customHeight="1">
      <c r="A457" s="233"/>
      <c r="B457" s="227"/>
      <c r="C457" s="227"/>
      <c r="D457" s="226"/>
      <c r="E457" s="226"/>
      <c r="F457" s="90"/>
    </row>
    <row r="458" ht="22.5" customHeight="1">
      <c r="A458" s="233"/>
      <c r="B458" s="227"/>
      <c r="C458" s="227"/>
      <c r="D458" s="226"/>
      <c r="E458" s="226"/>
      <c r="F458" s="90"/>
    </row>
    <row r="459" ht="22.5" customHeight="1">
      <c r="A459" s="233"/>
      <c r="B459" s="227"/>
      <c r="C459" s="227"/>
      <c r="D459" s="226"/>
      <c r="E459" s="226"/>
      <c r="F459" s="90"/>
    </row>
    <row r="460" ht="22.5" customHeight="1">
      <c r="A460" s="233"/>
      <c r="B460" s="227"/>
      <c r="C460" s="227"/>
      <c r="D460" s="226"/>
      <c r="E460" s="226"/>
      <c r="F460" s="90"/>
    </row>
    <row r="461" ht="22.5" customHeight="1">
      <c r="A461" s="233"/>
      <c r="B461" s="227"/>
      <c r="C461" s="227"/>
      <c r="D461" s="226"/>
      <c r="E461" s="226"/>
      <c r="F461" s="90"/>
    </row>
    <row r="462" ht="22.5" customHeight="1">
      <c r="A462" s="233"/>
      <c r="B462" s="227"/>
      <c r="C462" s="227"/>
      <c r="D462" s="226"/>
      <c r="E462" s="226"/>
      <c r="F462" s="90"/>
    </row>
    <row r="463" ht="22.5" customHeight="1">
      <c r="A463" s="233"/>
      <c r="B463" s="227"/>
      <c r="C463" s="227"/>
      <c r="D463" s="226"/>
      <c r="E463" s="226"/>
      <c r="F463" s="90"/>
    </row>
    <row r="464" ht="22.5" customHeight="1">
      <c r="A464" s="233"/>
      <c r="B464" s="227"/>
      <c r="C464" s="227"/>
      <c r="D464" s="226"/>
      <c r="E464" s="226"/>
      <c r="F464" s="90"/>
    </row>
    <row r="465" ht="22.5" customHeight="1">
      <c r="A465" s="233"/>
      <c r="B465" s="227"/>
      <c r="C465" s="227"/>
      <c r="D465" s="226"/>
      <c r="E465" s="226"/>
      <c r="F465" s="90"/>
    </row>
    <row r="466" ht="22.5" customHeight="1">
      <c r="A466" s="233"/>
      <c r="B466" s="227"/>
      <c r="C466" s="227"/>
      <c r="D466" s="226"/>
      <c r="E466" s="226"/>
      <c r="F466" s="90"/>
    </row>
    <row r="467" ht="22.5" customHeight="1">
      <c r="A467" s="233"/>
      <c r="B467" s="227"/>
      <c r="C467" s="227"/>
      <c r="D467" s="226"/>
      <c r="E467" s="226"/>
      <c r="F467" s="90"/>
    </row>
    <row r="468" ht="22.5" customHeight="1">
      <c r="A468" s="233"/>
      <c r="B468" s="227"/>
      <c r="C468" s="227"/>
      <c r="D468" s="226"/>
      <c r="E468" s="226"/>
      <c r="F468" s="90"/>
    </row>
    <row r="469" ht="22.5" customHeight="1">
      <c r="A469" s="233"/>
      <c r="B469" s="227"/>
      <c r="C469" s="227"/>
      <c r="D469" s="226"/>
      <c r="E469" s="226"/>
      <c r="F469" s="90"/>
    </row>
    <row r="470" ht="22.5" customHeight="1">
      <c r="A470" s="233"/>
      <c r="B470" s="227"/>
      <c r="C470" s="227"/>
      <c r="D470" s="226"/>
      <c r="E470" s="226"/>
      <c r="F470" s="90"/>
    </row>
    <row r="471" ht="22.5" customHeight="1">
      <c r="A471" s="233"/>
      <c r="B471" s="227"/>
      <c r="C471" s="227"/>
      <c r="D471" s="226"/>
      <c r="E471" s="226"/>
      <c r="F471" s="90"/>
    </row>
    <row r="472" ht="22.5" customHeight="1">
      <c r="A472" s="233"/>
      <c r="B472" s="227"/>
      <c r="C472" s="227"/>
      <c r="D472" s="226"/>
      <c r="E472" s="226"/>
      <c r="F472" s="90"/>
    </row>
    <row r="473" ht="22.5" customHeight="1">
      <c r="A473" s="233"/>
      <c r="B473" s="227"/>
      <c r="C473" s="227"/>
      <c r="D473" s="226"/>
      <c r="E473" s="226"/>
      <c r="F473" s="90"/>
    </row>
    <row r="474" ht="22.5" customHeight="1">
      <c r="A474" s="233"/>
      <c r="B474" s="227"/>
      <c r="C474" s="227"/>
      <c r="D474" s="226"/>
      <c r="E474" s="226"/>
      <c r="F474" s="90"/>
    </row>
    <row r="475" ht="22.5" customHeight="1">
      <c r="A475" s="233"/>
      <c r="B475" s="227"/>
      <c r="C475" s="227"/>
      <c r="D475" s="226"/>
      <c r="E475" s="226"/>
      <c r="F475" s="90"/>
    </row>
    <row r="476" ht="22.5" customHeight="1">
      <c r="A476" s="233"/>
      <c r="B476" s="227"/>
      <c r="C476" s="227"/>
      <c r="D476" s="226"/>
      <c r="E476" s="226"/>
      <c r="F476" s="90"/>
    </row>
    <row r="477" ht="22.5" customHeight="1">
      <c r="A477" s="233"/>
      <c r="B477" s="227"/>
      <c r="C477" s="227"/>
      <c r="D477" s="226"/>
      <c r="E477" s="226"/>
      <c r="F477" s="90"/>
    </row>
    <row r="478" ht="22.5" customHeight="1">
      <c r="A478" s="233"/>
      <c r="B478" s="227"/>
      <c r="C478" s="227"/>
      <c r="D478" s="226"/>
      <c r="E478" s="226"/>
      <c r="F478" s="90"/>
    </row>
    <row r="479" ht="22.5" customHeight="1">
      <c r="A479" s="233"/>
      <c r="B479" s="227"/>
      <c r="C479" s="227"/>
      <c r="D479" s="226"/>
      <c r="E479" s="226"/>
      <c r="F479" s="90"/>
    </row>
    <row r="480" ht="22.5" customHeight="1">
      <c r="A480" s="233"/>
      <c r="B480" s="227"/>
      <c r="C480" s="227"/>
      <c r="D480" s="226"/>
      <c r="E480" s="226"/>
      <c r="F480" s="90"/>
    </row>
    <row r="481" ht="22.5" customHeight="1">
      <c r="A481" s="233"/>
      <c r="B481" s="227"/>
      <c r="C481" s="227"/>
      <c r="D481" s="226"/>
      <c r="E481" s="226"/>
      <c r="F481" s="90"/>
    </row>
    <row r="482" ht="22.5" customHeight="1">
      <c r="A482" s="233"/>
      <c r="B482" s="227"/>
      <c r="C482" s="227"/>
      <c r="D482" s="226"/>
      <c r="E482" s="226"/>
      <c r="F482" s="90"/>
    </row>
    <row r="483" ht="22.5" customHeight="1">
      <c r="A483" s="233"/>
      <c r="B483" s="227"/>
      <c r="C483" s="227"/>
      <c r="D483" s="226"/>
      <c r="E483" s="226"/>
      <c r="F483" s="90"/>
    </row>
    <row r="484" ht="22.5" customHeight="1">
      <c r="A484" s="233"/>
      <c r="B484" s="227"/>
      <c r="C484" s="227"/>
      <c r="D484" s="226"/>
      <c r="E484" s="226"/>
      <c r="F484" s="90"/>
    </row>
    <row r="485" ht="22.5" customHeight="1">
      <c r="A485" s="233"/>
      <c r="B485" s="227"/>
      <c r="C485" s="227"/>
      <c r="D485" s="226"/>
      <c r="E485" s="226"/>
      <c r="F485" s="90"/>
    </row>
    <row r="486" ht="22.5" customHeight="1">
      <c r="A486" s="233"/>
      <c r="B486" s="227"/>
      <c r="C486" s="227"/>
      <c r="D486" s="226"/>
      <c r="E486" s="226"/>
      <c r="F486" s="90"/>
    </row>
    <row r="487" ht="22.5" customHeight="1">
      <c r="A487" s="233"/>
      <c r="B487" s="227"/>
      <c r="C487" s="227"/>
      <c r="D487" s="226"/>
      <c r="E487" s="226"/>
      <c r="F487" s="90"/>
    </row>
    <row r="488" ht="22.5" customHeight="1">
      <c r="A488" s="233"/>
      <c r="B488" s="227"/>
      <c r="C488" s="227"/>
      <c r="D488" s="226"/>
      <c r="E488" s="226"/>
      <c r="F488" s="90"/>
    </row>
    <row r="489" ht="22.5" customHeight="1">
      <c r="A489" s="233"/>
      <c r="B489" s="227"/>
      <c r="C489" s="227"/>
      <c r="D489" s="226"/>
      <c r="E489" s="226"/>
      <c r="F489" s="90"/>
    </row>
    <row r="490" ht="22.5" customHeight="1">
      <c r="A490" s="233"/>
      <c r="B490" s="227"/>
      <c r="C490" s="227"/>
      <c r="D490" s="226"/>
      <c r="E490" s="226"/>
      <c r="F490" s="90"/>
    </row>
    <row r="491" ht="22.5" customHeight="1">
      <c r="A491" s="233"/>
      <c r="B491" s="227"/>
      <c r="C491" s="227"/>
      <c r="D491" s="226"/>
      <c r="E491" s="226"/>
      <c r="F491" s="90"/>
    </row>
    <row r="492" ht="22.5" customHeight="1">
      <c r="A492" s="233"/>
      <c r="B492" s="227"/>
      <c r="C492" s="227"/>
      <c r="D492" s="226"/>
      <c r="E492" s="226"/>
      <c r="F492" s="90"/>
    </row>
    <row r="493" ht="22.5" customHeight="1">
      <c r="A493" s="233"/>
      <c r="B493" s="227"/>
      <c r="C493" s="227"/>
      <c r="D493" s="226"/>
      <c r="E493" s="226"/>
      <c r="F493" s="90"/>
    </row>
    <row r="494" ht="22.5" customHeight="1">
      <c r="A494" s="233"/>
      <c r="B494" s="227"/>
      <c r="C494" s="227"/>
      <c r="D494" s="226"/>
      <c r="E494" s="226"/>
      <c r="F494" s="90"/>
    </row>
    <row r="495" ht="22.5" customHeight="1">
      <c r="A495" s="233"/>
      <c r="B495" s="227"/>
      <c r="C495" s="227"/>
      <c r="D495" s="226"/>
      <c r="E495" s="226"/>
      <c r="F495" s="90"/>
    </row>
    <row r="496" ht="22.5" customHeight="1">
      <c r="A496" s="233"/>
      <c r="B496" s="227"/>
      <c r="C496" s="227"/>
      <c r="D496" s="226"/>
      <c r="E496" s="226"/>
      <c r="F496" s="90"/>
    </row>
    <row r="497" ht="22.5" customHeight="1">
      <c r="A497" s="233"/>
      <c r="B497" s="227"/>
      <c r="C497" s="227"/>
      <c r="D497" s="226"/>
      <c r="E497" s="226"/>
      <c r="F497" s="90"/>
    </row>
    <row r="498" ht="22.5" customHeight="1">
      <c r="A498" s="233"/>
      <c r="B498" s="227"/>
      <c r="C498" s="227"/>
      <c r="D498" s="226"/>
      <c r="E498" s="226"/>
      <c r="F498" s="90"/>
    </row>
    <row r="499" ht="22.5" customHeight="1">
      <c r="A499" s="233"/>
      <c r="B499" s="227"/>
      <c r="C499" s="227"/>
      <c r="D499" s="226"/>
      <c r="E499" s="226"/>
      <c r="F499" s="90"/>
    </row>
    <row r="500" ht="22.5" customHeight="1">
      <c r="A500" s="233"/>
      <c r="B500" s="227"/>
      <c r="C500" s="227"/>
      <c r="D500" s="226"/>
      <c r="E500" s="226"/>
      <c r="F500" s="90"/>
    </row>
    <row r="501" ht="22.5" customHeight="1">
      <c r="A501" s="233"/>
      <c r="B501" s="227"/>
      <c r="C501" s="227"/>
      <c r="D501" s="226"/>
      <c r="E501" s="226"/>
      <c r="F501" s="90"/>
    </row>
    <row r="502" ht="22.5" customHeight="1">
      <c r="A502" s="233"/>
      <c r="B502" s="227"/>
      <c r="C502" s="227"/>
      <c r="D502" s="226"/>
      <c r="E502" s="226"/>
      <c r="F502" s="90"/>
    </row>
    <row r="503" ht="22.5" customHeight="1">
      <c r="A503" s="233"/>
      <c r="B503" s="227"/>
      <c r="C503" s="227"/>
      <c r="D503" s="226"/>
      <c r="E503" s="226"/>
      <c r="F503" s="90"/>
    </row>
    <row r="504" ht="22.5" customHeight="1">
      <c r="A504" s="233"/>
      <c r="B504" s="227"/>
      <c r="C504" s="227"/>
      <c r="D504" s="226"/>
      <c r="E504" s="226"/>
      <c r="F504" s="90"/>
    </row>
    <row r="505" ht="22.5" customHeight="1">
      <c r="A505" s="233"/>
      <c r="B505" s="227"/>
      <c r="C505" s="227"/>
      <c r="D505" s="226"/>
      <c r="E505" s="226"/>
      <c r="F505" s="90"/>
    </row>
    <row r="506" ht="22.5" customHeight="1">
      <c r="A506" s="233"/>
      <c r="B506" s="227"/>
      <c r="C506" s="227"/>
      <c r="D506" s="226"/>
      <c r="E506" s="226"/>
      <c r="F506" s="90"/>
    </row>
    <row r="507" ht="22.5" customHeight="1">
      <c r="A507" s="233"/>
      <c r="B507" s="227"/>
      <c r="C507" s="227"/>
      <c r="D507" s="226"/>
      <c r="E507" s="226"/>
      <c r="F507" s="90"/>
    </row>
    <row r="508" ht="22.5" customHeight="1">
      <c r="A508" s="233"/>
      <c r="B508" s="227"/>
      <c r="C508" s="227"/>
      <c r="D508" s="226"/>
      <c r="E508" s="226"/>
      <c r="F508" s="90"/>
    </row>
    <row r="509" ht="22.5" customHeight="1">
      <c r="A509" s="233"/>
      <c r="B509" s="227"/>
      <c r="C509" s="227"/>
      <c r="D509" s="226"/>
      <c r="E509" s="226"/>
      <c r="F509" s="90"/>
    </row>
    <row r="510" ht="22.5" customHeight="1">
      <c r="A510" s="233"/>
      <c r="B510" s="227"/>
      <c r="C510" s="227"/>
      <c r="D510" s="226"/>
      <c r="E510" s="226"/>
      <c r="F510" s="90"/>
    </row>
    <row r="511" ht="22.5" customHeight="1">
      <c r="A511" s="233"/>
      <c r="B511" s="227"/>
      <c r="C511" s="227"/>
      <c r="D511" s="226"/>
      <c r="E511" s="226"/>
      <c r="F511" s="90"/>
    </row>
    <row r="512" ht="22.5" customHeight="1">
      <c r="A512" s="233"/>
      <c r="B512" s="227"/>
      <c r="C512" s="227"/>
      <c r="D512" s="226"/>
      <c r="E512" s="226"/>
      <c r="F512" s="90"/>
    </row>
    <row r="513" ht="22.5" customHeight="1">
      <c r="A513" s="233"/>
      <c r="B513" s="227"/>
      <c r="C513" s="227"/>
      <c r="D513" s="226"/>
      <c r="E513" s="226"/>
      <c r="F513" s="90"/>
    </row>
    <row r="514" ht="22.5" customHeight="1">
      <c r="A514" s="233"/>
      <c r="B514" s="227"/>
      <c r="C514" s="227"/>
      <c r="D514" s="226"/>
      <c r="E514" s="226"/>
      <c r="F514" s="90"/>
    </row>
    <row r="515" ht="22.5" customHeight="1">
      <c r="A515" s="233"/>
      <c r="B515" s="227"/>
      <c r="C515" s="227"/>
      <c r="D515" s="226"/>
      <c r="E515" s="226"/>
      <c r="F515" s="90"/>
    </row>
    <row r="516" ht="22.5" customHeight="1">
      <c r="A516" s="233"/>
      <c r="B516" s="227"/>
      <c r="C516" s="227"/>
      <c r="D516" s="226"/>
      <c r="E516" s="226"/>
      <c r="F516" s="90"/>
    </row>
    <row r="517" ht="22.5" customHeight="1">
      <c r="A517" s="233"/>
      <c r="B517" s="227"/>
      <c r="C517" s="227"/>
      <c r="D517" s="226"/>
      <c r="E517" s="226"/>
      <c r="F517" s="90"/>
    </row>
    <row r="518" ht="22.5" customHeight="1">
      <c r="A518" s="233"/>
      <c r="B518" s="227"/>
      <c r="C518" s="227"/>
      <c r="D518" s="226"/>
      <c r="E518" s="226"/>
      <c r="F518" s="90"/>
    </row>
    <row r="519" ht="22.5" customHeight="1">
      <c r="A519" s="233"/>
      <c r="B519" s="227"/>
      <c r="C519" s="227"/>
      <c r="D519" s="226"/>
      <c r="E519" s="226"/>
      <c r="F519" s="90"/>
    </row>
    <row r="520" ht="22.5" customHeight="1">
      <c r="A520" s="233"/>
      <c r="B520" s="227"/>
      <c r="C520" s="227"/>
      <c r="D520" s="226"/>
      <c r="E520" s="226"/>
      <c r="F520" s="90"/>
    </row>
    <row r="521" ht="22.5" customHeight="1">
      <c r="A521" s="233"/>
      <c r="B521" s="227"/>
      <c r="C521" s="227"/>
      <c r="D521" s="226"/>
      <c r="E521" s="226"/>
      <c r="F521" s="90"/>
    </row>
    <row r="522" ht="22.5" customHeight="1">
      <c r="A522" s="233"/>
      <c r="B522" s="227"/>
      <c r="C522" s="227"/>
      <c r="D522" s="226"/>
      <c r="E522" s="226"/>
      <c r="F522" s="90"/>
    </row>
    <row r="523" ht="22.5" customHeight="1">
      <c r="A523" s="233"/>
      <c r="B523" s="227"/>
      <c r="C523" s="227"/>
      <c r="D523" s="226"/>
      <c r="E523" s="226"/>
      <c r="F523" s="90"/>
    </row>
    <row r="524" ht="22.5" customHeight="1">
      <c r="A524" s="233"/>
      <c r="B524" s="227"/>
      <c r="C524" s="227"/>
      <c r="D524" s="226"/>
      <c r="E524" s="226"/>
      <c r="F524" s="90"/>
    </row>
    <row r="525" ht="22.5" customHeight="1">
      <c r="A525" s="233"/>
      <c r="B525" s="227"/>
      <c r="C525" s="227"/>
      <c r="D525" s="226"/>
      <c r="E525" s="226"/>
      <c r="F525" s="90"/>
    </row>
    <row r="526" ht="22.5" customHeight="1">
      <c r="A526" s="233"/>
      <c r="B526" s="227"/>
      <c r="C526" s="227"/>
      <c r="D526" s="226"/>
      <c r="E526" s="226"/>
      <c r="F526" s="90"/>
    </row>
    <row r="527" ht="22.5" customHeight="1">
      <c r="A527" s="233"/>
      <c r="B527" s="227"/>
      <c r="C527" s="227"/>
      <c r="D527" s="226"/>
      <c r="E527" s="226"/>
      <c r="F527" s="90"/>
    </row>
    <row r="528" ht="22.5" customHeight="1">
      <c r="A528" s="233"/>
      <c r="B528" s="227"/>
      <c r="C528" s="227"/>
      <c r="D528" s="226"/>
      <c r="E528" s="226"/>
      <c r="F528" s="90"/>
    </row>
    <row r="529" ht="22.5" customHeight="1">
      <c r="A529" s="233"/>
      <c r="B529" s="227"/>
      <c r="C529" s="227"/>
      <c r="D529" s="226"/>
      <c r="E529" s="226"/>
      <c r="F529" s="90"/>
    </row>
    <row r="530" ht="22.5" customHeight="1">
      <c r="A530" s="233"/>
      <c r="B530" s="227"/>
      <c r="C530" s="227"/>
      <c r="D530" s="226"/>
      <c r="E530" s="226"/>
      <c r="F530" s="90"/>
    </row>
    <row r="531" ht="22.5" customHeight="1">
      <c r="A531" s="233"/>
      <c r="B531" s="227"/>
      <c r="C531" s="227"/>
      <c r="D531" s="226"/>
      <c r="E531" s="226"/>
      <c r="F531" s="90"/>
    </row>
    <row r="532" ht="22.5" customHeight="1">
      <c r="A532" s="233"/>
      <c r="B532" s="227"/>
      <c r="C532" s="227"/>
      <c r="D532" s="226"/>
      <c r="E532" s="226"/>
      <c r="F532" s="90"/>
    </row>
    <row r="533" ht="22.5" customHeight="1">
      <c r="A533" s="233"/>
      <c r="B533" s="227"/>
      <c r="C533" s="227"/>
      <c r="D533" s="226"/>
      <c r="E533" s="226"/>
      <c r="F533" s="90"/>
    </row>
    <row r="534" ht="22.5" customHeight="1">
      <c r="A534" s="233"/>
      <c r="B534" s="227"/>
      <c r="C534" s="227"/>
      <c r="D534" s="226"/>
      <c r="E534" s="226"/>
      <c r="F534" s="90"/>
    </row>
    <row r="535" ht="22.5" customHeight="1">
      <c r="A535" s="233"/>
      <c r="B535" s="227"/>
      <c r="C535" s="227"/>
      <c r="D535" s="226"/>
      <c r="E535" s="226"/>
      <c r="F535" s="90"/>
    </row>
    <row r="536" ht="22.5" customHeight="1">
      <c r="A536" s="233"/>
      <c r="B536" s="227"/>
      <c r="C536" s="227"/>
      <c r="D536" s="226"/>
      <c r="E536" s="226"/>
      <c r="F536" s="90"/>
    </row>
    <row r="537" ht="22.5" customHeight="1">
      <c r="A537" s="233"/>
      <c r="B537" s="227"/>
      <c r="C537" s="227"/>
      <c r="D537" s="226"/>
      <c r="E537" s="226"/>
      <c r="F537" s="90"/>
    </row>
    <row r="538" ht="22.5" customHeight="1">
      <c r="A538" s="233"/>
      <c r="B538" s="227"/>
      <c r="C538" s="227"/>
      <c r="D538" s="226"/>
      <c r="E538" s="226"/>
      <c r="F538" s="90"/>
    </row>
    <row r="539" ht="22.5" customHeight="1">
      <c r="A539" s="233"/>
      <c r="B539" s="227"/>
      <c r="C539" s="227"/>
      <c r="D539" s="226"/>
      <c r="E539" s="226"/>
      <c r="F539" s="90"/>
    </row>
    <row r="540" ht="22.5" customHeight="1">
      <c r="A540" s="233"/>
      <c r="B540" s="227"/>
      <c r="C540" s="227"/>
      <c r="D540" s="226"/>
      <c r="E540" s="226"/>
      <c r="F540" s="90"/>
    </row>
    <row r="541" ht="22.5" customHeight="1">
      <c r="A541" s="233"/>
      <c r="B541" s="227"/>
      <c r="C541" s="227"/>
      <c r="D541" s="226"/>
      <c r="E541" s="226"/>
      <c r="F541" s="90"/>
    </row>
    <row r="542" ht="22.5" customHeight="1">
      <c r="A542" s="233"/>
      <c r="B542" s="227"/>
      <c r="C542" s="227"/>
      <c r="D542" s="226"/>
      <c r="E542" s="226"/>
      <c r="F542" s="90"/>
    </row>
    <row r="543" ht="22.5" customHeight="1">
      <c r="A543" s="233"/>
      <c r="B543" s="227"/>
      <c r="C543" s="227"/>
      <c r="D543" s="226"/>
      <c r="E543" s="226"/>
      <c r="F543" s="90"/>
    </row>
    <row r="544" ht="22.5" customHeight="1">
      <c r="A544" s="233"/>
      <c r="B544" s="227"/>
      <c r="C544" s="227"/>
      <c r="D544" s="226"/>
      <c r="E544" s="226"/>
      <c r="F544" s="90"/>
    </row>
    <row r="545" ht="22.5" customHeight="1">
      <c r="A545" s="233"/>
      <c r="B545" s="227"/>
      <c r="C545" s="227"/>
      <c r="D545" s="226"/>
      <c r="E545" s="226"/>
      <c r="F545" s="90"/>
    </row>
    <row r="546" ht="22.5" customHeight="1">
      <c r="A546" s="233"/>
      <c r="B546" s="227"/>
      <c r="C546" s="227"/>
      <c r="D546" s="226"/>
      <c r="E546" s="226"/>
      <c r="F546" s="90"/>
    </row>
    <row r="547" ht="22.5" customHeight="1">
      <c r="A547" s="233"/>
      <c r="B547" s="227"/>
      <c r="C547" s="227"/>
      <c r="D547" s="226"/>
      <c r="E547" s="226"/>
      <c r="F547" s="90"/>
    </row>
    <row r="548" ht="22.5" customHeight="1">
      <c r="A548" s="233"/>
      <c r="B548" s="227"/>
      <c r="C548" s="227"/>
      <c r="D548" s="226"/>
      <c r="E548" s="226"/>
      <c r="F548" s="90"/>
    </row>
    <row r="549" ht="22.5" customHeight="1">
      <c r="A549" s="233"/>
      <c r="B549" s="227"/>
      <c r="C549" s="227"/>
      <c r="D549" s="226"/>
      <c r="E549" s="226"/>
      <c r="F549" s="90"/>
    </row>
    <row r="550" ht="22.5" customHeight="1">
      <c r="A550" s="233"/>
      <c r="B550" s="227"/>
      <c r="C550" s="227"/>
      <c r="D550" s="226"/>
      <c r="E550" s="226"/>
      <c r="F550" s="90"/>
    </row>
    <row r="551" ht="22.5" customHeight="1">
      <c r="A551" s="233"/>
      <c r="B551" s="227"/>
      <c r="C551" s="227"/>
      <c r="D551" s="226"/>
      <c r="E551" s="226"/>
      <c r="F551" s="90"/>
    </row>
    <row r="552" ht="22.5" customHeight="1">
      <c r="A552" s="233"/>
      <c r="B552" s="227"/>
      <c r="C552" s="227"/>
      <c r="D552" s="226"/>
      <c r="E552" s="226"/>
      <c r="F552" s="90"/>
    </row>
    <row r="553" ht="22.5" customHeight="1">
      <c r="A553" s="233"/>
      <c r="B553" s="227"/>
      <c r="C553" s="227"/>
      <c r="D553" s="226"/>
      <c r="E553" s="226"/>
      <c r="F553" s="90"/>
    </row>
    <row r="554" ht="22.5" customHeight="1">
      <c r="A554" s="233"/>
      <c r="B554" s="227"/>
      <c r="C554" s="227"/>
      <c r="D554" s="226"/>
      <c r="E554" s="226"/>
      <c r="F554" s="90"/>
    </row>
    <row r="555" ht="22.5" customHeight="1">
      <c r="A555" s="233"/>
      <c r="B555" s="227"/>
      <c r="C555" s="227"/>
      <c r="D555" s="226"/>
      <c r="E555" s="226"/>
      <c r="F555" s="90"/>
    </row>
    <row r="556" ht="22.5" customHeight="1">
      <c r="A556" s="233"/>
      <c r="B556" s="227"/>
      <c r="C556" s="227"/>
      <c r="D556" s="226"/>
      <c r="E556" s="226"/>
      <c r="F556" s="90"/>
    </row>
    <row r="557" ht="22.5" customHeight="1">
      <c r="A557" s="233"/>
      <c r="B557" s="227"/>
      <c r="C557" s="227"/>
      <c r="D557" s="226"/>
      <c r="E557" s="226"/>
      <c r="F557" s="90"/>
    </row>
    <row r="558" ht="22.5" customHeight="1">
      <c r="A558" s="233"/>
      <c r="B558" s="227"/>
      <c r="C558" s="227"/>
      <c r="D558" s="226"/>
      <c r="E558" s="226"/>
      <c r="F558" s="90"/>
    </row>
    <row r="559" ht="22.5" customHeight="1">
      <c r="A559" s="233"/>
      <c r="B559" s="227"/>
      <c r="C559" s="227"/>
      <c r="D559" s="226"/>
      <c r="E559" s="226"/>
      <c r="F559" s="90"/>
    </row>
    <row r="560" ht="22.5" customHeight="1">
      <c r="A560" s="233"/>
      <c r="B560" s="227"/>
      <c r="C560" s="227"/>
      <c r="D560" s="226"/>
      <c r="E560" s="226"/>
      <c r="F560" s="90"/>
    </row>
    <row r="561" ht="22.5" customHeight="1">
      <c r="A561" s="233"/>
      <c r="B561" s="227"/>
      <c r="C561" s="227"/>
      <c r="D561" s="226"/>
      <c r="E561" s="226"/>
      <c r="F561" s="90"/>
    </row>
    <row r="562" ht="22.5" customHeight="1">
      <c r="A562" s="233"/>
      <c r="B562" s="227"/>
      <c r="C562" s="227"/>
      <c r="D562" s="226"/>
      <c r="E562" s="226"/>
      <c r="F562" s="90"/>
    </row>
    <row r="563" ht="22.5" customHeight="1">
      <c r="A563" s="233"/>
      <c r="B563" s="227"/>
      <c r="C563" s="227"/>
      <c r="D563" s="226"/>
      <c r="E563" s="226"/>
      <c r="F563" s="90"/>
    </row>
    <row r="564" ht="22.5" customHeight="1">
      <c r="A564" s="233"/>
      <c r="B564" s="227"/>
      <c r="C564" s="227"/>
      <c r="D564" s="226"/>
      <c r="E564" s="226"/>
      <c r="F564" s="90"/>
    </row>
    <row r="565" ht="22.5" customHeight="1">
      <c r="A565" s="233"/>
      <c r="B565" s="227"/>
      <c r="C565" s="227"/>
      <c r="D565" s="226"/>
      <c r="E565" s="226"/>
      <c r="F565" s="90"/>
    </row>
    <row r="566" ht="22.5" customHeight="1">
      <c r="A566" s="233"/>
      <c r="B566" s="227"/>
      <c r="C566" s="227"/>
      <c r="D566" s="226"/>
      <c r="E566" s="226"/>
      <c r="F566" s="90"/>
    </row>
    <row r="567" ht="22.5" customHeight="1">
      <c r="A567" s="233"/>
      <c r="B567" s="227"/>
      <c r="C567" s="227"/>
      <c r="D567" s="226"/>
      <c r="E567" s="226"/>
      <c r="F567" s="90"/>
    </row>
    <row r="568" ht="22.5" customHeight="1">
      <c r="A568" s="233"/>
      <c r="B568" s="227"/>
      <c r="C568" s="227"/>
      <c r="D568" s="226"/>
      <c r="E568" s="226"/>
      <c r="F568" s="90"/>
    </row>
    <row r="569" ht="22.5" customHeight="1">
      <c r="A569" s="233"/>
      <c r="B569" s="227"/>
      <c r="C569" s="227"/>
      <c r="D569" s="226"/>
      <c r="E569" s="226"/>
      <c r="F569" s="90"/>
    </row>
    <row r="570" ht="22.5" customHeight="1">
      <c r="A570" s="233"/>
      <c r="B570" s="227"/>
      <c r="C570" s="227"/>
      <c r="D570" s="226"/>
      <c r="E570" s="226"/>
      <c r="F570" s="90"/>
    </row>
    <row r="571" ht="22.5" customHeight="1">
      <c r="A571" s="233"/>
      <c r="B571" s="227"/>
      <c r="C571" s="227"/>
      <c r="D571" s="226"/>
      <c r="E571" s="226"/>
      <c r="F571" s="90"/>
    </row>
    <row r="572" ht="22.5" customHeight="1">
      <c r="A572" s="233"/>
      <c r="B572" s="227"/>
      <c r="C572" s="227"/>
      <c r="D572" s="226"/>
      <c r="E572" s="226"/>
      <c r="F572" s="90"/>
    </row>
    <row r="573" ht="22.5" customHeight="1">
      <c r="A573" s="233"/>
      <c r="B573" s="227"/>
      <c r="C573" s="227"/>
      <c r="D573" s="226"/>
      <c r="E573" s="226"/>
      <c r="F573" s="90"/>
    </row>
    <row r="574" ht="22.5" customHeight="1">
      <c r="A574" s="233"/>
      <c r="B574" s="227"/>
      <c r="C574" s="227"/>
      <c r="D574" s="226"/>
      <c r="E574" s="226"/>
      <c r="F574" s="90"/>
    </row>
    <row r="575" ht="22.5" customHeight="1">
      <c r="A575" s="233"/>
      <c r="B575" s="227"/>
      <c r="C575" s="227"/>
      <c r="D575" s="226"/>
      <c r="E575" s="226"/>
      <c r="F575" s="90"/>
    </row>
    <row r="576" ht="22.5" customHeight="1">
      <c r="A576" s="233"/>
      <c r="B576" s="227"/>
      <c r="C576" s="227"/>
      <c r="D576" s="226"/>
      <c r="E576" s="226"/>
      <c r="F576" s="90"/>
    </row>
    <row r="577" ht="22.5" customHeight="1">
      <c r="A577" s="233"/>
      <c r="B577" s="227"/>
      <c r="C577" s="227"/>
      <c r="D577" s="226"/>
      <c r="E577" s="226"/>
      <c r="F577" s="90"/>
    </row>
    <row r="578" ht="22.5" customHeight="1">
      <c r="A578" s="233"/>
      <c r="B578" s="227"/>
      <c r="C578" s="227"/>
      <c r="D578" s="226"/>
      <c r="E578" s="226"/>
      <c r="F578" s="90"/>
    </row>
    <row r="579" ht="22.5" customHeight="1">
      <c r="A579" s="233"/>
      <c r="B579" s="227"/>
      <c r="C579" s="227"/>
      <c r="D579" s="226"/>
      <c r="E579" s="226"/>
      <c r="F579" s="90"/>
    </row>
    <row r="580" ht="22.5" customHeight="1">
      <c r="A580" s="233"/>
      <c r="B580" s="227"/>
      <c r="C580" s="227"/>
      <c r="D580" s="226"/>
      <c r="E580" s="226"/>
      <c r="F580" s="90"/>
    </row>
    <row r="581" ht="22.5" customHeight="1">
      <c r="A581" s="233"/>
      <c r="B581" s="227"/>
      <c r="C581" s="227"/>
      <c r="D581" s="226"/>
      <c r="E581" s="226"/>
      <c r="F581" s="90"/>
    </row>
    <row r="582" ht="22.5" customHeight="1">
      <c r="A582" s="233"/>
      <c r="B582" s="227"/>
      <c r="C582" s="227"/>
      <c r="D582" s="226"/>
      <c r="E582" s="226"/>
      <c r="F582" s="90"/>
    </row>
    <row r="583" ht="22.5" customHeight="1">
      <c r="A583" s="233"/>
      <c r="B583" s="227"/>
      <c r="C583" s="227"/>
      <c r="D583" s="226"/>
      <c r="E583" s="226"/>
      <c r="F583" s="90"/>
    </row>
    <row r="584" ht="22.5" customHeight="1">
      <c r="A584" s="233"/>
      <c r="B584" s="227"/>
      <c r="C584" s="227"/>
      <c r="D584" s="226"/>
      <c r="E584" s="226"/>
      <c r="F584" s="90"/>
    </row>
    <row r="585" ht="22.5" customHeight="1">
      <c r="A585" s="233"/>
      <c r="B585" s="227"/>
      <c r="C585" s="227"/>
      <c r="D585" s="226"/>
      <c r="E585" s="226"/>
      <c r="F585" s="90"/>
    </row>
    <row r="586" ht="22.5" customHeight="1">
      <c r="A586" s="233"/>
      <c r="B586" s="227"/>
      <c r="C586" s="227"/>
      <c r="D586" s="226"/>
      <c r="E586" s="226"/>
      <c r="F586" s="90"/>
    </row>
    <row r="587" ht="22.5" customHeight="1">
      <c r="A587" s="233"/>
      <c r="B587" s="227"/>
      <c r="C587" s="227"/>
      <c r="D587" s="226"/>
      <c r="E587" s="226"/>
      <c r="F587" s="90"/>
    </row>
    <row r="588" ht="22.5" customHeight="1">
      <c r="A588" s="233"/>
      <c r="B588" s="227"/>
      <c r="C588" s="227"/>
      <c r="D588" s="226"/>
      <c r="E588" s="226"/>
      <c r="F588" s="90"/>
    </row>
    <row r="589" ht="22.5" customHeight="1">
      <c r="A589" s="233"/>
      <c r="B589" s="227"/>
      <c r="C589" s="227"/>
      <c r="D589" s="226"/>
      <c r="E589" s="226"/>
      <c r="F589" s="90"/>
    </row>
    <row r="590" ht="22.5" customHeight="1">
      <c r="A590" s="233"/>
      <c r="B590" s="227"/>
      <c r="C590" s="227"/>
      <c r="D590" s="226"/>
      <c r="E590" s="226"/>
      <c r="F590" s="90"/>
    </row>
    <row r="591" ht="22.5" customHeight="1">
      <c r="A591" s="233"/>
      <c r="B591" s="227"/>
      <c r="C591" s="227"/>
      <c r="D591" s="226"/>
      <c r="E591" s="226"/>
      <c r="F591" s="90"/>
    </row>
    <row r="592" ht="22.5" customHeight="1">
      <c r="A592" s="233"/>
      <c r="B592" s="227"/>
      <c r="C592" s="227"/>
      <c r="D592" s="226"/>
      <c r="E592" s="226"/>
      <c r="F592" s="90"/>
    </row>
    <row r="593" ht="22.5" customHeight="1">
      <c r="A593" s="233"/>
      <c r="B593" s="227"/>
      <c r="C593" s="227"/>
      <c r="D593" s="226"/>
      <c r="E593" s="226"/>
      <c r="F593" s="90"/>
    </row>
    <row r="594" ht="22.5" customHeight="1">
      <c r="A594" s="233"/>
      <c r="B594" s="227"/>
      <c r="C594" s="227"/>
      <c r="D594" s="226"/>
      <c r="E594" s="226"/>
      <c r="F594" s="90"/>
    </row>
    <row r="595" ht="22.5" customHeight="1">
      <c r="A595" s="233"/>
      <c r="B595" s="227"/>
      <c r="C595" s="227"/>
      <c r="D595" s="226"/>
      <c r="E595" s="226"/>
      <c r="F595" s="90"/>
    </row>
    <row r="596" ht="22.5" customHeight="1">
      <c r="A596" s="233"/>
      <c r="B596" s="227"/>
      <c r="C596" s="227"/>
      <c r="D596" s="226"/>
      <c r="E596" s="226"/>
      <c r="F596" s="90"/>
    </row>
    <row r="597" ht="22.5" customHeight="1">
      <c r="A597" s="233"/>
      <c r="B597" s="227"/>
      <c r="C597" s="227"/>
      <c r="D597" s="226"/>
      <c r="E597" s="226"/>
      <c r="F597" s="90"/>
    </row>
    <row r="598" ht="22.5" customHeight="1">
      <c r="A598" s="233"/>
      <c r="B598" s="227"/>
      <c r="C598" s="227"/>
      <c r="D598" s="226"/>
      <c r="E598" s="226"/>
      <c r="F598" s="90"/>
    </row>
    <row r="599" ht="22.5" customHeight="1">
      <c r="A599" s="233"/>
      <c r="B599" s="227"/>
      <c r="C599" s="227"/>
      <c r="D599" s="226"/>
      <c r="E599" s="226"/>
      <c r="F599" s="90"/>
    </row>
    <row r="600" ht="22.5" customHeight="1">
      <c r="A600" s="233"/>
      <c r="B600" s="227"/>
      <c r="C600" s="227"/>
      <c r="D600" s="226"/>
      <c r="E600" s="226"/>
      <c r="F600" s="90"/>
    </row>
    <row r="601" ht="22.5" customHeight="1">
      <c r="A601" s="233"/>
      <c r="B601" s="227"/>
      <c r="C601" s="227"/>
      <c r="D601" s="226"/>
      <c r="E601" s="226"/>
      <c r="F601" s="90"/>
    </row>
    <row r="602" ht="22.5" customHeight="1">
      <c r="A602" s="233"/>
      <c r="B602" s="227"/>
      <c r="C602" s="227"/>
      <c r="D602" s="226"/>
      <c r="E602" s="226"/>
      <c r="F602" s="90"/>
    </row>
    <row r="603" ht="22.5" customHeight="1">
      <c r="A603" s="233"/>
      <c r="B603" s="227"/>
      <c r="C603" s="227"/>
      <c r="D603" s="226"/>
      <c r="E603" s="226"/>
      <c r="F603" s="90"/>
    </row>
    <row r="604" ht="22.5" customHeight="1">
      <c r="A604" s="233"/>
      <c r="B604" s="227"/>
      <c r="C604" s="227"/>
      <c r="D604" s="226"/>
      <c r="E604" s="226"/>
      <c r="F604" s="90"/>
    </row>
    <row r="605" ht="22.5" customHeight="1">
      <c r="A605" s="233"/>
      <c r="B605" s="227"/>
      <c r="C605" s="227"/>
      <c r="D605" s="226"/>
      <c r="E605" s="226"/>
      <c r="F605" s="90"/>
    </row>
    <row r="606" ht="22.5" customHeight="1">
      <c r="A606" s="233"/>
      <c r="B606" s="227"/>
      <c r="C606" s="227"/>
      <c r="D606" s="226"/>
      <c r="E606" s="226"/>
      <c r="F606" s="90"/>
    </row>
    <row r="607" ht="22.5" customHeight="1">
      <c r="A607" s="233"/>
      <c r="B607" s="227"/>
      <c r="C607" s="227"/>
      <c r="D607" s="226"/>
      <c r="E607" s="226"/>
      <c r="F607" s="90"/>
    </row>
    <row r="608" ht="22.5" customHeight="1">
      <c r="A608" s="233"/>
      <c r="B608" s="227"/>
      <c r="C608" s="227"/>
      <c r="D608" s="226"/>
      <c r="E608" s="226"/>
      <c r="F608" s="90"/>
    </row>
    <row r="609" ht="22.5" customHeight="1">
      <c r="A609" s="233"/>
      <c r="B609" s="227"/>
      <c r="C609" s="227"/>
      <c r="D609" s="226"/>
      <c r="E609" s="226"/>
      <c r="F609" s="90"/>
    </row>
    <row r="610" ht="22.5" customHeight="1">
      <c r="A610" s="233"/>
      <c r="B610" s="227"/>
      <c r="C610" s="227"/>
      <c r="D610" s="226"/>
      <c r="E610" s="226"/>
      <c r="F610" s="90"/>
    </row>
    <row r="611" ht="22.5" customHeight="1">
      <c r="A611" s="233"/>
      <c r="B611" s="227"/>
      <c r="C611" s="227"/>
      <c r="D611" s="226"/>
      <c r="E611" s="226"/>
      <c r="F611" s="90"/>
    </row>
    <row r="612" ht="22.5" customHeight="1">
      <c r="A612" s="233"/>
      <c r="B612" s="227"/>
      <c r="C612" s="227"/>
      <c r="D612" s="226"/>
      <c r="E612" s="226"/>
      <c r="F612" s="90"/>
    </row>
    <row r="613" ht="22.5" customHeight="1">
      <c r="A613" s="233"/>
      <c r="B613" s="227"/>
      <c r="C613" s="227"/>
      <c r="D613" s="226"/>
      <c r="E613" s="226"/>
      <c r="F613" s="90"/>
    </row>
    <row r="614" ht="22.5" customHeight="1">
      <c r="A614" s="233"/>
      <c r="B614" s="227"/>
      <c r="C614" s="227"/>
      <c r="D614" s="226"/>
      <c r="E614" s="226"/>
      <c r="F614" s="90"/>
    </row>
    <row r="615" ht="22.5" customHeight="1">
      <c r="A615" s="233"/>
      <c r="B615" s="227"/>
      <c r="C615" s="227"/>
      <c r="D615" s="226"/>
      <c r="E615" s="226"/>
      <c r="F615" s="90"/>
    </row>
    <row r="616" ht="22.5" customHeight="1">
      <c r="A616" s="233"/>
      <c r="B616" s="227"/>
      <c r="C616" s="227"/>
      <c r="D616" s="226"/>
      <c r="E616" s="226"/>
      <c r="F616" s="90"/>
    </row>
    <row r="617" ht="22.5" customHeight="1">
      <c r="A617" s="233"/>
      <c r="B617" s="227"/>
      <c r="C617" s="227"/>
      <c r="D617" s="226"/>
      <c r="E617" s="226"/>
      <c r="F617" s="90"/>
    </row>
    <row r="618" ht="22.5" customHeight="1">
      <c r="A618" s="233"/>
      <c r="B618" s="227"/>
      <c r="C618" s="227"/>
      <c r="D618" s="226"/>
      <c r="E618" s="226"/>
      <c r="F618" s="90"/>
    </row>
    <row r="619" ht="22.5" customHeight="1">
      <c r="A619" s="233"/>
      <c r="B619" s="227"/>
      <c r="C619" s="227"/>
      <c r="D619" s="226"/>
      <c r="E619" s="226"/>
      <c r="F619" s="90"/>
    </row>
    <row r="620" ht="22.5" customHeight="1">
      <c r="A620" s="233"/>
      <c r="B620" s="227"/>
      <c r="C620" s="227"/>
      <c r="D620" s="226"/>
      <c r="E620" s="226"/>
      <c r="F620" s="90"/>
    </row>
    <row r="621" ht="22.5" customHeight="1">
      <c r="A621" s="233"/>
      <c r="B621" s="227"/>
      <c r="C621" s="227"/>
      <c r="D621" s="226"/>
      <c r="E621" s="226"/>
      <c r="F621" s="90"/>
    </row>
    <row r="622" ht="22.5" customHeight="1">
      <c r="A622" s="233"/>
      <c r="B622" s="227"/>
      <c r="C622" s="227"/>
      <c r="D622" s="226"/>
      <c r="E622" s="226"/>
      <c r="F622" s="90"/>
    </row>
    <row r="623" ht="22.5" customHeight="1">
      <c r="A623" s="233"/>
      <c r="B623" s="227"/>
      <c r="C623" s="227"/>
      <c r="D623" s="226"/>
      <c r="E623" s="226"/>
      <c r="F623" s="90"/>
    </row>
    <row r="624" ht="22.5" customHeight="1">
      <c r="A624" s="233"/>
      <c r="B624" s="227"/>
      <c r="C624" s="227"/>
      <c r="D624" s="226"/>
      <c r="E624" s="226"/>
      <c r="F624" s="90"/>
    </row>
    <row r="625" ht="22.5" customHeight="1">
      <c r="A625" s="233"/>
      <c r="B625" s="227"/>
      <c r="C625" s="227"/>
      <c r="D625" s="226"/>
      <c r="E625" s="226"/>
      <c r="F625" s="90"/>
    </row>
    <row r="626" ht="22.5" customHeight="1">
      <c r="A626" s="233"/>
      <c r="B626" s="227"/>
      <c r="C626" s="227"/>
      <c r="D626" s="226"/>
      <c r="E626" s="226"/>
      <c r="F626" s="90"/>
    </row>
    <row r="627" ht="22.5" customHeight="1">
      <c r="A627" s="233"/>
      <c r="B627" s="227"/>
      <c r="C627" s="227"/>
      <c r="D627" s="226"/>
      <c r="E627" s="226"/>
      <c r="F627" s="90"/>
    </row>
    <row r="628" ht="22.5" customHeight="1">
      <c r="A628" s="233"/>
      <c r="B628" s="227"/>
      <c r="C628" s="227"/>
      <c r="D628" s="226"/>
      <c r="E628" s="226"/>
      <c r="F628" s="90"/>
    </row>
    <row r="629" ht="22.5" customHeight="1">
      <c r="A629" s="233"/>
      <c r="B629" s="227"/>
      <c r="C629" s="227"/>
      <c r="D629" s="226"/>
      <c r="E629" s="226"/>
      <c r="F629" s="90"/>
    </row>
    <row r="630" ht="22.5" customHeight="1">
      <c r="A630" s="233"/>
      <c r="B630" s="227"/>
      <c r="C630" s="227"/>
      <c r="D630" s="226"/>
      <c r="E630" s="226"/>
      <c r="F630" s="90"/>
    </row>
    <row r="631" ht="22.5" customHeight="1">
      <c r="A631" s="233"/>
      <c r="B631" s="227"/>
      <c r="C631" s="227"/>
      <c r="D631" s="226"/>
      <c r="E631" s="226"/>
      <c r="F631" s="90"/>
    </row>
    <row r="632" ht="22.5" customHeight="1">
      <c r="A632" s="233"/>
      <c r="B632" s="227"/>
      <c r="C632" s="227"/>
      <c r="D632" s="226"/>
      <c r="E632" s="226"/>
      <c r="F632" s="90"/>
    </row>
    <row r="633" ht="22.5" customHeight="1">
      <c r="A633" s="233"/>
      <c r="B633" s="227"/>
      <c r="C633" s="227"/>
      <c r="D633" s="226"/>
      <c r="E633" s="226"/>
      <c r="F633" s="90"/>
    </row>
    <row r="634" ht="22.5" customHeight="1">
      <c r="A634" s="233"/>
      <c r="B634" s="227"/>
      <c r="C634" s="227"/>
      <c r="D634" s="226"/>
      <c r="E634" s="226"/>
      <c r="F634" s="90"/>
    </row>
    <row r="635" ht="22.5" customHeight="1">
      <c r="A635" s="233"/>
      <c r="B635" s="227"/>
      <c r="C635" s="227"/>
      <c r="D635" s="226"/>
      <c r="E635" s="226"/>
      <c r="F635" s="90"/>
    </row>
    <row r="636" ht="22.5" customHeight="1">
      <c r="A636" s="233"/>
      <c r="B636" s="227"/>
      <c r="C636" s="227"/>
      <c r="D636" s="226"/>
      <c r="E636" s="226"/>
      <c r="F636" s="90"/>
    </row>
    <row r="637" ht="22.5" customHeight="1">
      <c r="A637" s="233"/>
      <c r="B637" s="227"/>
      <c r="C637" s="227"/>
      <c r="D637" s="226"/>
      <c r="E637" s="226"/>
      <c r="F637" s="90"/>
    </row>
    <row r="638" ht="22.5" customHeight="1">
      <c r="A638" s="233"/>
      <c r="B638" s="227"/>
      <c r="C638" s="227"/>
      <c r="D638" s="226"/>
      <c r="E638" s="226"/>
      <c r="F638" s="90"/>
    </row>
    <row r="639" ht="22.5" customHeight="1">
      <c r="A639" s="233"/>
      <c r="B639" s="227"/>
      <c r="C639" s="227"/>
      <c r="D639" s="226"/>
      <c r="E639" s="226"/>
      <c r="F639" s="90"/>
    </row>
    <row r="640" ht="22.5" customHeight="1">
      <c r="A640" s="233"/>
      <c r="B640" s="227"/>
      <c r="C640" s="227"/>
      <c r="D640" s="226"/>
      <c r="E640" s="226"/>
      <c r="F640" s="90"/>
    </row>
    <row r="641" ht="22.5" customHeight="1">
      <c r="A641" s="233"/>
      <c r="B641" s="227"/>
      <c r="C641" s="227"/>
      <c r="D641" s="226"/>
      <c r="E641" s="226"/>
      <c r="F641" s="90"/>
    </row>
    <row r="642" ht="22.5" customHeight="1">
      <c r="A642" s="233"/>
      <c r="B642" s="227"/>
      <c r="C642" s="227"/>
      <c r="D642" s="226"/>
      <c r="E642" s="226"/>
      <c r="F642" s="90"/>
    </row>
    <row r="643" ht="22.5" customHeight="1">
      <c r="A643" s="233"/>
      <c r="B643" s="227"/>
      <c r="C643" s="227"/>
      <c r="D643" s="226"/>
      <c r="E643" s="226"/>
      <c r="F643" s="90"/>
    </row>
    <row r="644" ht="22.5" customHeight="1">
      <c r="A644" s="233"/>
      <c r="B644" s="227"/>
      <c r="C644" s="227"/>
      <c r="D644" s="226"/>
      <c r="E644" s="226"/>
      <c r="F644" s="90"/>
    </row>
    <row r="645" ht="22.5" customHeight="1">
      <c r="A645" s="233"/>
      <c r="B645" s="227"/>
      <c r="C645" s="227"/>
      <c r="D645" s="226"/>
      <c r="E645" s="226"/>
      <c r="F645" s="90"/>
    </row>
    <row r="646" ht="22.5" customHeight="1">
      <c r="A646" s="233"/>
      <c r="B646" s="227"/>
      <c r="C646" s="227"/>
      <c r="D646" s="226"/>
      <c r="E646" s="226"/>
      <c r="F646" s="90"/>
    </row>
    <row r="647" ht="22.5" customHeight="1">
      <c r="A647" s="233"/>
      <c r="B647" s="227"/>
      <c r="C647" s="227"/>
      <c r="D647" s="226"/>
      <c r="E647" s="226"/>
      <c r="F647" s="90"/>
    </row>
    <row r="648" ht="22.5" customHeight="1">
      <c r="A648" s="233"/>
      <c r="B648" s="227"/>
      <c r="C648" s="227"/>
      <c r="D648" s="226"/>
      <c r="E648" s="226"/>
      <c r="F648" s="90"/>
    </row>
    <row r="649" ht="22.5" customHeight="1">
      <c r="A649" s="233"/>
      <c r="B649" s="227"/>
      <c r="C649" s="227"/>
      <c r="D649" s="226"/>
      <c r="E649" s="226"/>
      <c r="F649" s="90"/>
    </row>
    <row r="650" ht="22.5" customHeight="1">
      <c r="A650" s="233"/>
      <c r="B650" s="227"/>
      <c r="C650" s="227"/>
      <c r="D650" s="226"/>
      <c r="E650" s="226"/>
      <c r="F650" s="90"/>
    </row>
    <row r="651" ht="22.5" customHeight="1">
      <c r="A651" s="233"/>
      <c r="B651" s="227"/>
      <c r="C651" s="227"/>
      <c r="D651" s="226"/>
      <c r="E651" s="226"/>
      <c r="F651" s="90"/>
    </row>
    <row r="652" ht="22.5" customHeight="1">
      <c r="A652" s="233"/>
      <c r="B652" s="227"/>
      <c r="C652" s="227"/>
      <c r="D652" s="226"/>
      <c r="E652" s="226"/>
      <c r="F652" s="90"/>
    </row>
    <row r="653" ht="22.5" customHeight="1">
      <c r="A653" s="233"/>
      <c r="B653" s="227"/>
      <c r="C653" s="227"/>
      <c r="D653" s="226"/>
      <c r="E653" s="226"/>
      <c r="F653" s="90"/>
    </row>
    <row r="654" ht="22.5" customHeight="1">
      <c r="A654" s="233"/>
      <c r="B654" s="227"/>
      <c r="C654" s="227"/>
      <c r="D654" s="226"/>
      <c r="E654" s="226"/>
      <c r="F654" s="90"/>
    </row>
    <row r="655" ht="22.5" customHeight="1">
      <c r="A655" s="233"/>
      <c r="B655" s="227"/>
      <c r="C655" s="227"/>
      <c r="D655" s="226"/>
      <c r="E655" s="226"/>
      <c r="F655" s="90"/>
    </row>
    <row r="656" ht="22.5" customHeight="1">
      <c r="A656" s="233"/>
      <c r="B656" s="227"/>
      <c r="C656" s="227"/>
      <c r="D656" s="226"/>
      <c r="E656" s="226"/>
      <c r="F656" s="90"/>
    </row>
    <row r="657" ht="22.5" customHeight="1">
      <c r="A657" s="233"/>
      <c r="B657" s="227"/>
      <c r="C657" s="227"/>
      <c r="D657" s="226"/>
      <c r="E657" s="226"/>
      <c r="F657" s="90"/>
    </row>
    <row r="658" ht="22.5" customHeight="1">
      <c r="A658" s="233"/>
      <c r="B658" s="227"/>
      <c r="C658" s="227"/>
      <c r="D658" s="226"/>
      <c r="E658" s="226"/>
      <c r="F658" s="90"/>
    </row>
    <row r="659" ht="22.5" customHeight="1">
      <c r="A659" s="233"/>
      <c r="B659" s="227"/>
      <c r="C659" s="227"/>
      <c r="D659" s="226"/>
      <c r="E659" s="226"/>
      <c r="F659" s="90"/>
    </row>
    <row r="660" ht="22.5" customHeight="1">
      <c r="A660" s="233"/>
      <c r="B660" s="227"/>
      <c r="C660" s="227"/>
      <c r="D660" s="226"/>
      <c r="E660" s="226"/>
      <c r="F660" s="90"/>
    </row>
    <row r="661" ht="22.5" customHeight="1">
      <c r="A661" s="233"/>
      <c r="B661" s="227"/>
      <c r="C661" s="227"/>
      <c r="D661" s="226"/>
      <c r="E661" s="226"/>
      <c r="F661" s="90"/>
    </row>
    <row r="662" ht="22.5" customHeight="1">
      <c r="A662" s="233"/>
      <c r="B662" s="227"/>
      <c r="C662" s="227"/>
      <c r="D662" s="226"/>
      <c r="E662" s="226"/>
      <c r="F662" s="90"/>
    </row>
    <row r="663" ht="22.5" customHeight="1">
      <c r="A663" s="233"/>
      <c r="B663" s="227"/>
      <c r="C663" s="227"/>
      <c r="D663" s="226"/>
      <c r="E663" s="226"/>
      <c r="F663" s="90"/>
    </row>
    <row r="664" ht="22.5" customHeight="1">
      <c r="A664" s="233"/>
      <c r="B664" s="227"/>
      <c r="C664" s="227"/>
      <c r="D664" s="226"/>
      <c r="E664" s="226"/>
      <c r="F664" s="90"/>
    </row>
    <row r="665" ht="22.5" customHeight="1">
      <c r="A665" s="233"/>
      <c r="B665" s="227"/>
      <c r="C665" s="227"/>
      <c r="D665" s="226"/>
      <c r="E665" s="226"/>
      <c r="F665" s="90"/>
    </row>
    <row r="666" ht="22.5" customHeight="1">
      <c r="A666" s="233"/>
      <c r="B666" s="227"/>
      <c r="C666" s="227"/>
      <c r="D666" s="226"/>
      <c r="E666" s="226"/>
      <c r="F666" s="90"/>
    </row>
    <row r="667" ht="22.5" customHeight="1">
      <c r="A667" s="233"/>
      <c r="B667" s="227"/>
      <c r="C667" s="227"/>
      <c r="D667" s="226"/>
      <c r="E667" s="226"/>
      <c r="F667" s="90"/>
    </row>
    <row r="668" ht="22.5" customHeight="1">
      <c r="A668" s="233"/>
      <c r="B668" s="227"/>
      <c r="C668" s="227"/>
      <c r="D668" s="226"/>
      <c r="E668" s="226"/>
      <c r="F668" s="90"/>
    </row>
    <row r="669" ht="22.5" customHeight="1">
      <c r="A669" s="233"/>
      <c r="B669" s="227"/>
      <c r="C669" s="227"/>
      <c r="D669" s="226"/>
      <c r="E669" s="226"/>
      <c r="F669" s="90"/>
    </row>
    <row r="670" ht="22.5" customHeight="1">
      <c r="A670" s="233"/>
      <c r="B670" s="227"/>
      <c r="C670" s="227"/>
      <c r="D670" s="226"/>
      <c r="E670" s="226"/>
      <c r="F670" s="90"/>
    </row>
    <row r="671" ht="22.5" customHeight="1">
      <c r="A671" s="233"/>
      <c r="B671" s="227"/>
      <c r="C671" s="227"/>
      <c r="D671" s="226"/>
      <c r="E671" s="226"/>
      <c r="F671" s="90"/>
    </row>
    <row r="672" ht="22.5" customHeight="1">
      <c r="A672" s="233"/>
      <c r="B672" s="227"/>
      <c r="C672" s="227"/>
      <c r="D672" s="226"/>
      <c r="E672" s="226"/>
      <c r="F672" s="90"/>
    </row>
    <row r="673" ht="22.5" customHeight="1">
      <c r="A673" s="233"/>
      <c r="B673" s="227"/>
      <c r="C673" s="227"/>
      <c r="D673" s="226"/>
      <c r="E673" s="226"/>
      <c r="F673" s="90"/>
    </row>
    <row r="674" ht="22.5" customHeight="1">
      <c r="A674" s="233"/>
      <c r="B674" s="227"/>
      <c r="C674" s="227"/>
      <c r="D674" s="226"/>
      <c r="E674" s="226"/>
      <c r="F674" s="90"/>
    </row>
    <row r="675" ht="22.5" customHeight="1">
      <c r="A675" s="233"/>
      <c r="B675" s="227"/>
      <c r="C675" s="227"/>
      <c r="D675" s="226"/>
      <c r="E675" s="226"/>
      <c r="F675" s="90"/>
    </row>
    <row r="676" ht="22.5" customHeight="1">
      <c r="A676" s="233"/>
      <c r="B676" s="227"/>
      <c r="C676" s="227"/>
      <c r="D676" s="226"/>
      <c r="E676" s="226"/>
      <c r="F676" s="90"/>
    </row>
    <row r="677" ht="22.5" customHeight="1">
      <c r="A677" s="233"/>
      <c r="B677" s="227"/>
      <c r="C677" s="227"/>
      <c r="D677" s="226"/>
      <c r="E677" s="226"/>
      <c r="F677" s="90"/>
    </row>
    <row r="678" ht="22.5" customHeight="1">
      <c r="A678" s="233"/>
      <c r="B678" s="227"/>
      <c r="C678" s="227"/>
      <c r="D678" s="226"/>
      <c r="E678" s="226"/>
      <c r="F678" s="90"/>
    </row>
    <row r="679" ht="22.5" customHeight="1">
      <c r="A679" s="233"/>
      <c r="B679" s="227"/>
      <c r="C679" s="227"/>
      <c r="D679" s="226"/>
      <c r="E679" s="226"/>
      <c r="F679" s="90"/>
    </row>
    <row r="680" ht="22.5" customHeight="1">
      <c r="A680" s="233"/>
      <c r="B680" s="227"/>
      <c r="C680" s="227"/>
      <c r="D680" s="226"/>
      <c r="E680" s="226"/>
      <c r="F680" s="90"/>
    </row>
    <row r="681" ht="22.5" customHeight="1">
      <c r="A681" s="233"/>
      <c r="B681" s="227"/>
      <c r="C681" s="227"/>
      <c r="D681" s="226"/>
      <c r="E681" s="226"/>
      <c r="F681" s="90"/>
    </row>
    <row r="682" ht="22.5" customHeight="1">
      <c r="A682" s="233"/>
      <c r="B682" s="227"/>
      <c r="C682" s="227"/>
      <c r="D682" s="226"/>
      <c r="E682" s="226"/>
      <c r="F682" s="90"/>
    </row>
    <row r="683" ht="22.5" customHeight="1">
      <c r="A683" s="233"/>
      <c r="B683" s="227"/>
      <c r="C683" s="227"/>
      <c r="D683" s="226"/>
      <c r="E683" s="226"/>
      <c r="F683" s="90"/>
    </row>
    <row r="684" ht="22.5" customHeight="1">
      <c r="A684" s="233"/>
      <c r="B684" s="227"/>
      <c r="C684" s="227"/>
      <c r="D684" s="226"/>
      <c r="E684" s="226"/>
      <c r="F684" s="90"/>
    </row>
    <row r="685" ht="22.5" customHeight="1">
      <c r="A685" s="233"/>
      <c r="B685" s="227"/>
      <c r="C685" s="227"/>
      <c r="D685" s="226"/>
      <c r="E685" s="226"/>
      <c r="F685" s="90"/>
    </row>
    <row r="686" ht="22.5" customHeight="1">
      <c r="A686" s="233"/>
      <c r="B686" s="227"/>
      <c r="C686" s="227"/>
      <c r="D686" s="226"/>
      <c r="E686" s="226"/>
      <c r="F686" s="90"/>
    </row>
    <row r="687" ht="22.5" customHeight="1">
      <c r="A687" s="233"/>
      <c r="B687" s="227"/>
      <c r="C687" s="227"/>
      <c r="D687" s="226"/>
      <c r="E687" s="226"/>
      <c r="F687" s="90"/>
    </row>
    <row r="688" ht="22.5" customHeight="1">
      <c r="A688" s="233"/>
      <c r="B688" s="227"/>
      <c r="C688" s="227"/>
      <c r="D688" s="226"/>
      <c r="E688" s="226"/>
      <c r="F688" s="90"/>
    </row>
    <row r="689" ht="22.5" customHeight="1">
      <c r="A689" s="233"/>
      <c r="B689" s="227"/>
      <c r="C689" s="227"/>
      <c r="D689" s="226"/>
      <c r="E689" s="226"/>
      <c r="F689" s="90"/>
    </row>
    <row r="690" ht="22.5" customHeight="1">
      <c r="A690" s="233"/>
      <c r="B690" s="227"/>
      <c r="C690" s="227"/>
      <c r="D690" s="226"/>
      <c r="E690" s="226"/>
      <c r="F690" s="90"/>
    </row>
    <row r="691" ht="22.5" customHeight="1">
      <c r="A691" s="233"/>
      <c r="B691" s="227"/>
      <c r="C691" s="227"/>
      <c r="D691" s="226"/>
      <c r="E691" s="226"/>
      <c r="F691" s="90"/>
    </row>
    <row r="692" ht="22.5" customHeight="1">
      <c r="A692" s="233"/>
      <c r="B692" s="227"/>
      <c r="C692" s="227"/>
      <c r="D692" s="226"/>
      <c r="E692" s="226"/>
      <c r="F692" s="90"/>
    </row>
    <row r="693" ht="22.5" customHeight="1">
      <c r="A693" s="233"/>
      <c r="B693" s="227"/>
      <c r="C693" s="227"/>
      <c r="D693" s="226"/>
      <c r="E693" s="226"/>
      <c r="F693" s="90"/>
    </row>
    <row r="694" ht="22.5" customHeight="1">
      <c r="A694" s="233"/>
      <c r="B694" s="227"/>
      <c r="C694" s="227"/>
      <c r="D694" s="226"/>
      <c r="E694" s="226"/>
      <c r="F694" s="90"/>
    </row>
    <row r="695" ht="22.5" customHeight="1">
      <c r="A695" s="233"/>
      <c r="B695" s="227"/>
      <c r="C695" s="227"/>
      <c r="D695" s="226"/>
      <c r="E695" s="226"/>
      <c r="F695" s="90"/>
    </row>
    <row r="696" ht="22.5" customHeight="1">
      <c r="A696" s="233"/>
      <c r="B696" s="227"/>
      <c r="C696" s="227"/>
      <c r="D696" s="226"/>
      <c r="E696" s="226"/>
      <c r="F696" s="90"/>
    </row>
    <row r="697" ht="22.5" customHeight="1">
      <c r="A697" s="233"/>
      <c r="B697" s="227"/>
      <c r="C697" s="227"/>
      <c r="D697" s="226"/>
      <c r="E697" s="226"/>
      <c r="F697" s="90"/>
    </row>
    <row r="698" ht="22.5" customHeight="1">
      <c r="A698" s="233"/>
      <c r="B698" s="227"/>
      <c r="C698" s="227"/>
      <c r="D698" s="226"/>
      <c r="E698" s="226"/>
      <c r="F698" s="90"/>
    </row>
    <row r="699" ht="22.5" customHeight="1">
      <c r="A699" s="233"/>
      <c r="B699" s="227"/>
      <c r="C699" s="227"/>
      <c r="D699" s="226"/>
      <c r="E699" s="226"/>
      <c r="F699" s="90"/>
    </row>
    <row r="700" ht="22.5" customHeight="1">
      <c r="A700" s="233"/>
      <c r="B700" s="227"/>
      <c r="C700" s="227"/>
      <c r="D700" s="226"/>
      <c r="E700" s="226"/>
      <c r="F700" s="90"/>
    </row>
    <row r="701" ht="22.5" customHeight="1">
      <c r="A701" s="233"/>
      <c r="B701" s="227"/>
      <c r="C701" s="227"/>
      <c r="D701" s="226"/>
      <c r="E701" s="226"/>
      <c r="F701" s="90"/>
    </row>
    <row r="702" ht="22.5" customHeight="1">
      <c r="A702" s="233"/>
      <c r="B702" s="227"/>
      <c r="C702" s="227"/>
      <c r="D702" s="226"/>
      <c r="E702" s="226"/>
      <c r="F702" s="90"/>
    </row>
    <row r="703" ht="22.5" customHeight="1">
      <c r="A703" s="233"/>
      <c r="B703" s="227"/>
      <c r="C703" s="227"/>
      <c r="D703" s="226"/>
      <c r="E703" s="226"/>
      <c r="F703" s="90"/>
    </row>
    <row r="704" ht="22.5" customHeight="1">
      <c r="A704" s="233"/>
      <c r="B704" s="227"/>
      <c r="C704" s="227"/>
      <c r="D704" s="226"/>
      <c r="E704" s="226"/>
      <c r="F704" s="90"/>
    </row>
    <row r="705" ht="22.5" customHeight="1">
      <c r="A705" s="233"/>
      <c r="B705" s="227"/>
      <c r="C705" s="227"/>
      <c r="D705" s="226"/>
      <c r="E705" s="226"/>
      <c r="F705" s="90"/>
    </row>
    <row r="706" ht="22.5" customHeight="1">
      <c r="A706" s="233"/>
      <c r="B706" s="227"/>
      <c r="C706" s="227"/>
      <c r="D706" s="226"/>
      <c r="E706" s="226"/>
      <c r="F706" s="90"/>
    </row>
    <row r="707" ht="22.5" customHeight="1">
      <c r="A707" s="233"/>
      <c r="B707" s="227"/>
      <c r="C707" s="227"/>
      <c r="D707" s="226"/>
      <c r="E707" s="226"/>
      <c r="F707" s="90"/>
    </row>
    <row r="708" ht="22.5" customHeight="1">
      <c r="A708" s="233"/>
      <c r="B708" s="227"/>
      <c r="C708" s="227"/>
      <c r="D708" s="226"/>
      <c r="E708" s="226"/>
      <c r="F708" s="90"/>
    </row>
    <row r="709" ht="22.5" customHeight="1">
      <c r="A709" s="233"/>
      <c r="B709" s="227"/>
      <c r="C709" s="227"/>
      <c r="D709" s="226"/>
      <c r="E709" s="226"/>
      <c r="F709" s="90"/>
    </row>
    <row r="710" ht="22.5" customHeight="1">
      <c r="A710" s="233"/>
      <c r="B710" s="227"/>
      <c r="C710" s="227"/>
      <c r="D710" s="226"/>
      <c r="E710" s="226"/>
      <c r="F710" s="90"/>
    </row>
    <row r="711" ht="22.5" customHeight="1">
      <c r="A711" s="233"/>
      <c r="B711" s="227"/>
      <c r="C711" s="227"/>
      <c r="D711" s="226"/>
      <c r="E711" s="226"/>
      <c r="F711" s="90"/>
    </row>
    <row r="712" ht="22.5" customHeight="1">
      <c r="A712" s="233"/>
      <c r="B712" s="227"/>
      <c r="C712" s="227"/>
      <c r="D712" s="226"/>
      <c r="E712" s="226"/>
      <c r="F712" s="90"/>
    </row>
    <row r="713" ht="22.5" customHeight="1">
      <c r="A713" s="233"/>
      <c r="B713" s="227"/>
      <c r="C713" s="227"/>
      <c r="D713" s="226"/>
      <c r="E713" s="226"/>
      <c r="F713" s="90"/>
    </row>
    <row r="714" ht="22.5" customHeight="1">
      <c r="A714" s="233"/>
      <c r="B714" s="227"/>
      <c r="C714" s="227"/>
      <c r="D714" s="226"/>
      <c r="E714" s="226"/>
      <c r="F714" s="90"/>
    </row>
    <row r="715" ht="22.5" customHeight="1">
      <c r="A715" s="233"/>
      <c r="B715" s="227"/>
      <c r="C715" s="227"/>
      <c r="D715" s="226"/>
      <c r="E715" s="226"/>
      <c r="F715" s="90"/>
    </row>
    <row r="716" ht="22.5" customHeight="1">
      <c r="A716" s="233"/>
      <c r="B716" s="227"/>
      <c r="C716" s="227"/>
      <c r="D716" s="226"/>
      <c r="E716" s="226"/>
      <c r="F716" s="90"/>
    </row>
    <row r="717" ht="22.5" customHeight="1">
      <c r="A717" s="233"/>
      <c r="B717" s="227"/>
      <c r="C717" s="227"/>
      <c r="D717" s="226"/>
      <c r="E717" s="226"/>
      <c r="F717" s="90"/>
    </row>
    <row r="718" ht="22.5" customHeight="1">
      <c r="A718" s="233"/>
      <c r="B718" s="227"/>
      <c r="C718" s="227"/>
      <c r="D718" s="226"/>
      <c r="E718" s="226"/>
      <c r="F718" s="90"/>
    </row>
    <row r="719" ht="22.5" customHeight="1">
      <c r="A719" s="233"/>
      <c r="B719" s="227"/>
      <c r="C719" s="227"/>
      <c r="D719" s="226"/>
      <c r="E719" s="226"/>
      <c r="F719" s="90"/>
    </row>
    <row r="720" ht="22.5" customHeight="1">
      <c r="A720" s="233"/>
      <c r="B720" s="227"/>
      <c r="C720" s="227"/>
      <c r="D720" s="226"/>
      <c r="E720" s="226"/>
      <c r="F720" s="90"/>
    </row>
    <row r="721" ht="22.5" customHeight="1">
      <c r="A721" s="233"/>
      <c r="B721" s="227"/>
      <c r="C721" s="227"/>
      <c r="D721" s="226"/>
      <c r="E721" s="226"/>
      <c r="F721" s="90"/>
    </row>
    <row r="722" ht="22.5" customHeight="1">
      <c r="A722" s="233"/>
      <c r="B722" s="227"/>
      <c r="C722" s="227"/>
      <c r="D722" s="226"/>
      <c r="E722" s="226"/>
      <c r="F722" s="90"/>
    </row>
    <row r="723" ht="22.5" customHeight="1">
      <c r="A723" s="233"/>
      <c r="B723" s="227"/>
      <c r="C723" s="227"/>
      <c r="D723" s="226"/>
      <c r="E723" s="226"/>
      <c r="F723" s="90"/>
    </row>
    <row r="724" ht="22.5" customHeight="1">
      <c r="A724" s="233"/>
      <c r="B724" s="227"/>
      <c r="C724" s="227"/>
      <c r="D724" s="226"/>
      <c r="E724" s="226"/>
      <c r="F724" s="90"/>
    </row>
    <row r="725" ht="22.5" customHeight="1">
      <c r="A725" s="233"/>
      <c r="B725" s="227"/>
      <c r="C725" s="227"/>
      <c r="D725" s="226"/>
      <c r="E725" s="226"/>
      <c r="F725" s="90"/>
    </row>
    <row r="726" ht="22.5" customHeight="1">
      <c r="A726" s="233"/>
      <c r="B726" s="227"/>
      <c r="C726" s="227"/>
      <c r="D726" s="226"/>
      <c r="E726" s="226"/>
      <c r="F726" s="90"/>
    </row>
    <row r="727" ht="22.5" customHeight="1">
      <c r="A727" s="233"/>
      <c r="B727" s="227"/>
      <c r="C727" s="227"/>
      <c r="D727" s="226"/>
      <c r="E727" s="226"/>
      <c r="F727" s="90"/>
    </row>
    <row r="728" ht="22.5" customHeight="1">
      <c r="A728" s="233"/>
      <c r="B728" s="227"/>
      <c r="C728" s="227"/>
      <c r="D728" s="226"/>
      <c r="E728" s="226"/>
      <c r="F728" s="90"/>
    </row>
    <row r="729" ht="22.5" customHeight="1">
      <c r="A729" s="233"/>
      <c r="B729" s="227"/>
      <c r="C729" s="227"/>
      <c r="D729" s="226"/>
      <c r="E729" s="226"/>
      <c r="F729" s="90"/>
    </row>
    <row r="730" ht="22.5" customHeight="1">
      <c r="A730" s="233"/>
      <c r="B730" s="227"/>
      <c r="C730" s="227"/>
      <c r="D730" s="226"/>
      <c r="E730" s="226"/>
      <c r="F730" s="90"/>
    </row>
    <row r="731" ht="22.5" customHeight="1">
      <c r="A731" s="233"/>
      <c r="B731" s="227"/>
      <c r="C731" s="227"/>
      <c r="D731" s="226"/>
      <c r="E731" s="226"/>
      <c r="F731" s="90"/>
    </row>
    <row r="732" ht="22.5" customHeight="1">
      <c r="A732" s="233"/>
      <c r="B732" s="227"/>
      <c r="C732" s="227"/>
      <c r="D732" s="226"/>
      <c r="E732" s="226"/>
      <c r="F732" s="90"/>
    </row>
    <row r="733" ht="22.5" customHeight="1">
      <c r="A733" s="233"/>
      <c r="B733" s="227"/>
      <c r="C733" s="227"/>
      <c r="D733" s="226"/>
      <c r="E733" s="226"/>
      <c r="F733" s="90"/>
    </row>
    <row r="734" ht="22.5" customHeight="1">
      <c r="A734" s="233"/>
      <c r="B734" s="227"/>
      <c r="C734" s="227"/>
      <c r="D734" s="226"/>
      <c r="E734" s="226"/>
      <c r="F734" s="90"/>
    </row>
    <row r="735" ht="22.5" customHeight="1">
      <c r="A735" s="233"/>
      <c r="B735" s="227"/>
      <c r="C735" s="227"/>
      <c r="D735" s="226"/>
      <c r="E735" s="226"/>
      <c r="F735" s="90"/>
    </row>
    <row r="736" ht="22.5" customHeight="1">
      <c r="A736" s="233"/>
      <c r="B736" s="227"/>
      <c r="C736" s="227"/>
      <c r="D736" s="226"/>
      <c r="E736" s="226"/>
      <c r="F736" s="90"/>
    </row>
    <row r="737" ht="22.5" customHeight="1">
      <c r="A737" s="233"/>
      <c r="B737" s="227"/>
      <c r="C737" s="227"/>
      <c r="D737" s="226"/>
      <c r="E737" s="226"/>
      <c r="F737" s="90"/>
    </row>
    <row r="738" ht="22.5" customHeight="1">
      <c r="A738" s="233"/>
      <c r="B738" s="227"/>
      <c r="C738" s="227"/>
      <c r="D738" s="226"/>
      <c r="E738" s="226"/>
      <c r="F738" s="90"/>
    </row>
    <row r="739" ht="22.5" customHeight="1">
      <c r="A739" s="233"/>
      <c r="B739" s="227"/>
      <c r="C739" s="227"/>
      <c r="D739" s="226"/>
      <c r="E739" s="226"/>
      <c r="F739" s="90"/>
    </row>
    <row r="740" ht="22.5" customHeight="1">
      <c r="A740" s="233"/>
      <c r="B740" s="227"/>
      <c r="C740" s="227"/>
      <c r="D740" s="226"/>
      <c r="E740" s="226"/>
      <c r="F740" s="90"/>
    </row>
    <row r="741" ht="22.5" customHeight="1">
      <c r="A741" s="233"/>
      <c r="B741" s="227"/>
      <c r="C741" s="227"/>
      <c r="D741" s="226"/>
      <c r="E741" s="226"/>
      <c r="F741" s="90"/>
    </row>
    <row r="742" ht="22.5" customHeight="1">
      <c r="A742" s="233"/>
      <c r="B742" s="227"/>
      <c r="C742" s="227"/>
      <c r="D742" s="226"/>
      <c r="E742" s="226"/>
      <c r="F742" s="90"/>
    </row>
    <row r="743" ht="22.5" customHeight="1">
      <c r="A743" s="233"/>
      <c r="B743" s="227"/>
      <c r="C743" s="227"/>
      <c r="D743" s="226"/>
      <c r="E743" s="226"/>
      <c r="F743" s="90"/>
    </row>
    <row r="744" ht="22.5" customHeight="1">
      <c r="A744" s="233"/>
      <c r="B744" s="227"/>
      <c r="C744" s="227"/>
      <c r="D744" s="226"/>
      <c r="E744" s="226"/>
      <c r="F744" s="90"/>
    </row>
    <row r="745" ht="22.5" customHeight="1">
      <c r="A745" s="233"/>
      <c r="B745" s="227"/>
      <c r="C745" s="227"/>
      <c r="D745" s="226"/>
      <c r="E745" s="226"/>
      <c r="F745" s="90"/>
    </row>
    <row r="746" ht="22.5" customHeight="1">
      <c r="A746" s="233"/>
      <c r="B746" s="227"/>
      <c r="C746" s="227"/>
      <c r="D746" s="226"/>
      <c r="E746" s="226"/>
      <c r="F746" s="90"/>
    </row>
    <row r="747" ht="22.5" customHeight="1">
      <c r="A747" s="233"/>
      <c r="B747" s="227"/>
      <c r="C747" s="227"/>
      <c r="D747" s="226"/>
      <c r="E747" s="226"/>
      <c r="F747" s="90"/>
    </row>
    <row r="748" ht="22.5" customHeight="1">
      <c r="A748" s="233"/>
      <c r="B748" s="227"/>
      <c r="C748" s="227"/>
      <c r="D748" s="226"/>
      <c r="E748" s="226"/>
      <c r="F748" s="90"/>
    </row>
    <row r="749" ht="22.5" customHeight="1">
      <c r="A749" s="233"/>
      <c r="B749" s="227"/>
      <c r="C749" s="227"/>
      <c r="D749" s="226"/>
      <c r="E749" s="226"/>
      <c r="F749" s="90"/>
    </row>
    <row r="750" ht="22.5" customHeight="1">
      <c r="A750" s="233"/>
      <c r="B750" s="227"/>
      <c r="C750" s="227"/>
      <c r="D750" s="226"/>
      <c r="E750" s="226"/>
      <c r="F750" s="90"/>
    </row>
    <row r="751" ht="22.5" customHeight="1">
      <c r="A751" s="233"/>
      <c r="B751" s="227"/>
      <c r="C751" s="227"/>
      <c r="D751" s="226"/>
      <c r="E751" s="226"/>
      <c r="F751" s="90"/>
    </row>
    <row r="752" ht="22.5" customHeight="1">
      <c r="A752" s="233"/>
      <c r="B752" s="227"/>
      <c r="C752" s="227"/>
      <c r="D752" s="226"/>
      <c r="E752" s="226"/>
      <c r="F752" s="90"/>
    </row>
    <row r="753" ht="22.5" customHeight="1">
      <c r="A753" s="233"/>
      <c r="B753" s="227"/>
      <c r="C753" s="227"/>
      <c r="D753" s="226"/>
      <c r="E753" s="226"/>
      <c r="F753" s="90"/>
    </row>
    <row r="754" ht="22.5" customHeight="1">
      <c r="A754" s="233"/>
      <c r="B754" s="227"/>
      <c r="C754" s="227"/>
      <c r="D754" s="226"/>
      <c r="E754" s="226"/>
      <c r="F754" s="90"/>
    </row>
    <row r="755" ht="22.5" customHeight="1">
      <c r="A755" s="233"/>
      <c r="B755" s="227"/>
      <c r="C755" s="227"/>
      <c r="D755" s="226"/>
      <c r="E755" s="226"/>
      <c r="F755" s="90"/>
    </row>
    <row r="756" ht="22.5" customHeight="1">
      <c r="A756" s="233"/>
      <c r="B756" s="227"/>
      <c r="C756" s="227"/>
      <c r="D756" s="226"/>
      <c r="E756" s="226"/>
      <c r="F756" s="90"/>
    </row>
    <row r="757" ht="22.5" customHeight="1">
      <c r="A757" s="233"/>
      <c r="B757" s="227"/>
      <c r="C757" s="227"/>
      <c r="D757" s="226"/>
      <c r="E757" s="226"/>
      <c r="F757" s="90"/>
    </row>
    <row r="758" ht="22.5" customHeight="1">
      <c r="A758" s="233"/>
      <c r="B758" s="227"/>
      <c r="C758" s="227"/>
      <c r="D758" s="226"/>
      <c r="E758" s="226"/>
      <c r="F758" s="90"/>
    </row>
    <row r="759" ht="22.5" customHeight="1">
      <c r="A759" s="233"/>
      <c r="B759" s="227"/>
      <c r="C759" s="227"/>
      <c r="D759" s="226"/>
      <c r="E759" s="226"/>
      <c r="F759" s="90"/>
    </row>
    <row r="760" ht="22.5" customHeight="1">
      <c r="A760" s="233"/>
      <c r="B760" s="227"/>
      <c r="C760" s="227"/>
      <c r="D760" s="226"/>
      <c r="E760" s="226"/>
      <c r="F760" s="90"/>
    </row>
    <row r="761" ht="22.5" customHeight="1">
      <c r="A761" s="233"/>
      <c r="B761" s="227"/>
      <c r="C761" s="227"/>
      <c r="D761" s="226"/>
      <c r="E761" s="226"/>
      <c r="F761" s="90"/>
    </row>
    <row r="762" ht="22.5" customHeight="1">
      <c r="A762" s="233"/>
      <c r="B762" s="227"/>
      <c r="C762" s="227"/>
      <c r="D762" s="226"/>
      <c r="E762" s="226"/>
      <c r="F762" s="90"/>
    </row>
    <row r="763" ht="22.5" customHeight="1">
      <c r="A763" s="233"/>
      <c r="B763" s="227"/>
      <c r="C763" s="227"/>
      <c r="D763" s="226"/>
      <c r="E763" s="226"/>
      <c r="F763" s="90"/>
    </row>
    <row r="764" ht="22.5" customHeight="1">
      <c r="A764" s="233"/>
      <c r="B764" s="227"/>
      <c r="C764" s="227"/>
      <c r="D764" s="226"/>
      <c r="E764" s="226"/>
      <c r="F764" s="90"/>
    </row>
    <row r="765" ht="22.5" customHeight="1">
      <c r="A765" s="233"/>
      <c r="B765" s="227"/>
      <c r="C765" s="227"/>
      <c r="D765" s="226"/>
      <c r="E765" s="226"/>
      <c r="F765" s="90"/>
    </row>
    <row r="766" ht="22.5" customHeight="1">
      <c r="A766" s="233"/>
      <c r="B766" s="227"/>
      <c r="C766" s="227"/>
      <c r="D766" s="226"/>
      <c r="E766" s="226"/>
      <c r="F766" s="90"/>
    </row>
    <row r="767" ht="22.5" customHeight="1">
      <c r="A767" s="233"/>
      <c r="B767" s="227"/>
      <c r="C767" s="227"/>
      <c r="D767" s="226"/>
      <c r="E767" s="226"/>
      <c r="F767" s="90"/>
    </row>
    <row r="768" ht="22.5" customHeight="1">
      <c r="A768" s="233"/>
      <c r="B768" s="227"/>
      <c r="C768" s="227"/>
      <c r="D768" s="226"/>
      <c r="E768" s="226"/>
      <c r="F768" s="90"/>
    </row>
    <row r="769" ht="22.5" customHeight="1">
      <c r="A769" s="233"/>
      <c r="B769" s="227"/>
      <c r="C769" s="227"/>
      <c r="D769" s="226"/>
      <c r="E769" s="226"/>
      <c r="F769" s="90"/>
    </row>
    <row r="770" ht="22.5" customHeight="1">
      <c r="A770" s="233"/>
      <c r="B770" s="227"/>
      <c r="C770" s="227"/>
      <c r="D770" s="226"/>
      <c r="E770" s="226"/>
      <c r="F770" s="90"/>
    </row>
    <row r="771" ht="22.5" customHeight="1">
      <c r="A771" s="233"/>
      <c r="B771" s="227"/>
      <c r="C771" s="227"/>
      <c r="D771" s="226"/>
      <c r="E771" s="226"/>
      <c r="F771" s="90"/>
    </row>
    <row r="772" ht="22.5" customHeight="1">
      <c r="A772" s="233"/>
      <c r="B772" s="227"/>
      <c r="C772" s="227"/>
      <c r="D772" s="226"/>
      <c r="E772" s="226"/>
      <c r="F772" s="90"/>
    </row>
    <row r="773" ht="22.5" customHeight="1">
      <c r="A773" s="233"/>
      <c r="B773" s="227"/>
      <c r="C773" s="227"/>
      <c r="D773" s="226"/>
      <c r="E773" s="226"/>
      <c r="F773" s="90"/>
    </row>
    <row r="774" ht="22.5" customHeight="1">
      <c r="A774" s="233"/>
      <c r="B774" s="227"/>
      <c r="C774" s="227"/>
      <c r="D774" s="226"/>
      <c r="E774" s="226"/>
      <c r="F774" s="90"/>
    </row>
    <row r="775" ht="22.5" customHeight="1">
      <c r="A775" s="233"/>
      <c r="B775" s="227"/>
      <c r="C775" s="227"/>
      <c r="D775" s="226"/>
      <c r="E775" s="226"/>
      <c r="F775" s="90"/>
    </row>
    <row r="776" ht="22.5" customHeight="1">
      <c r="A776" s="233"/>
      <c r="B776" s="227"/>
      <c r="C776" s="227"/>
      <c r="D776" s="226"/>
      <c r="E776" s="226"/>
      <c r="F776" s="90"/>
    </row>
    <row r="777" ht="22.5" customHeight="1">
      <c r="A777" s="233"/>
      <c r="B777" s="227"/>
      <c r="C777" s="227"/>
      <c r="D777" s="226"/>
      <c r="E777" s="226"/>
      <c r="F777" s="90"/>
    </row>
    <row r="778" ht="22.5" customHeight="1">
      <c r="A778" s="233"/>
      <c r="B778" s="227"/>
      <c r="C778" s="227"/>
      <c r="D778" s="226"/>
      <c r="E778" s="226"/>
      <c r="F778" s="90"/>
    </row>
    <row r="779" ht="22.5" customHeight="1">
      <c r="A779" s="233"/>
      <c r="B779" s="227"/>
      <c r="C779" s="227"/>
      <c r="D779" s="226"/>
      <c r="E779" s="226"/>
      <c r="F779" s="90"/>
    </row>
    <row r="780" ht="22.5" customHeight="1">
      <c r="A780" s="233"/>
      <c r="B780" s="227"/>
      <c r="C780" s="227"/>
      <c r="D780" s="226"/>
      <c r="E780" s="226"/>
      <c r="F780" s="90"/>
    </row>
    <row r="781" ht="22.5" customHeight="1">
      <c r="A781" s="233"/>
      <c r="B781" s="227"/>
      <c r="C781" s="227"/>
      <c r="D781" s="226"/>
      <c r="E781" s="226"/>
      <c r="F781" s="90"/>
    </row>
    <row r="782" ht="22.5" customHeight="1">
      <c r="A782" s="233"/>
      <c r="B782" s="227"/>
      <c r="C782" s="227"/>
      <c r="D782" s="226"/>
      <c r="E782" s="226"/>
      <c r="F782" s="90"/>
    </row>
    <row r="783" ht="22.5" customHeight="1">
      <c r="A783" s="233"/>
      <c r="B783" s="227"/>
      <c r="C783" s="227"/>
      <c r="D783" s="226"/>
      <c r="E783" s="226"/>
      <c r="F783" s="90"/>
    </row>
    <row r="784" ht="22.5" customHeight="1">
      <c r="A784" s="233"/>
      <c r="B784" s="227"/>
      <c r="C784" s="227"/>
      <c r="D784" s="226"/>
      <c r="E784" s="226"/>
      <c r="F784" s="90"/>
    </row>
    <row r="785" ht="22.5" customHeight="1">
      <c r="A785" s="233"/>
      <c r="B785" s="227"/>
      <c r="C785" s="227"/>
      <c r="D785" s="226"/>
      <c r="E785" s="226"/>
      <c r="F785" s="90"/>
    </row>
    <row r="786" ht="22.5" customHeight="1">
      <c r="A786" s="233"/>
      <c r="B786" s="227"/>
      <c r="C786" s="227"/>
      <c r="D786" s="226"/>
      <c r="E786" s="226"/>
      <c r="F786" s="90"/>
    </row>
    <row r="787" ht="22.5" customHeight="1">
      <c r="A787" s="233"/>
      <c r="B787" s="227"/>
      <c r="C787" s="227"/>
      <c r="D787" s="226"/>
      <c r="E787" s="226"/>
      <c r="F787" s="90"/>
    </row>
    <row r="788" ht="22.5" customHeight="1">
      <c r="A788" s="233"/>
      <c r="B788" s="227"/>
      <c r="C788" s="227"/>
      <c r="D788" s="226"/>
      <c r="E788" s="226"/>
      <c r="F788" s="90"/>
    </row>
    <row r="789" ht="22.5" customHeight="1">
      <c r="A789" s="233"/>
      <c r="B789" s="227"/>
      <c r="C789" s="227"/>
      <c r="D789" s="226"/>
      <c r="E789" s="226"/>
      <c r="F789" s="90"/>
    </row>
    <row r="790" ht="22.5" customHeight="1">
      <c r="A790" s="233"/>
      <c r="B790" s="227"/>
      <c r="C790" s="227"/>
      <c r="D790" s="226"/>
      <c r="E790" s="226"/>
      <c r="F790" s="90"/>
    </row>
    <row r="791" ht="22.5" customHeight="1">
      <c r="A791" s="233"/>
      <c r="B791" s="227"/>
      <c r="C791" s="227"/>
      <c r="D791" s="226"/>
      <c r="E791" s="226"/>
      <c r="F791" s="90"/>
    </row>
    <row r="792" ht="22.5" customHeight="1">
      <c r="A792" s="233"/>
      <c r="B792" s="227"/>
      <c r="C792" s="227"/>
      <c r="D792" s="226"/>
      <c r="E792" s="226"/>
      <c r="F792" s="90"/>
    </row>
    <row r="793" ht="22.5" customHeight="1">
      <c r="A793" s="233"/>
      <c r="B793" s="227"/>
      <c r="C793" s="227"/>
      <c r="D793" s="226"/>
      <c r="E793" s="226"/>
      <c r="F793" s="90"/>
    </row>
    <row r="794" ht="22.5" customHeight="1">
      <c r="A794" s="233"/>
      <c r="B794" s="227"/>
      <c r="C794" s="227"/>
      <c r="D794" s="226"/>
      <c r="E794" s="226"/>
      <c r="F794" s="90"/>
    </row>
    <row r="795" ht="22.5" customHeight="1">
      <c r="A795" s="233"/>
      <c r="B795" s="227"/>
      <c r="C795" s="227"/>
      <c r="D795" s="226"/>
      <c r="E795" s="226"/>
      <c r="F795" s="90"/>
    </row>
    <row r="796" ht="22.5" customHeight="1">
      <c r="A796" s="233"/>
      <c r="B796" s="227"/>
      <c r="C796" s="227"/>
      <c r="D796" s="226"/>
      <c r="E796" s="226"/>
      <c r="F796" s="90"/>
    </row>
    <row r="797" ht="22.5" customHeight="1">
      <c r="A797" s="233"/>
      <c r="B797" s="227"/>
      <c r="C797" s="227"/>
      <c r="D797" s="226"/>
      <c r="E797" s="226"/>
      <c r="F797" s="90"/>
    </row>
    <row r="798" ht="22.5" customHeight="1">
      <c r="A798" s="233"/>
      <c r="B798" s="227"/>
      <c r="C798" s="227"/>
      <c r="D798" s="226"/>
      <c r="E798" s="226"/>
      <c r="F798" s="90"/>
    </row>
    <row r="799" ht="22.5" customHeight="1">
      <c r="A799" s="233"/>
      <c r="B799" s="227"/>
      <c r="C799" s="227"/>
      <c r="D799" s="226"/>
      <c r="E799" s="226"/>
      <c r="F799" s="90"/>
    </row>
    <row r="800" ht="22.5" customHeight="1">
      <c r="A800" s="233"/>
      <c r="B800" s="227"/>
      <c r="C800" s="227"/>
      <c r="D800" s="226"/>
      <c r="E800" s="226"/>
      <c r="F800" s="90"/>
    </row>
    <row r="801" ht="22.5" customHeight="1">
      <c r="A801" s="233"/>
      <c r="B801" s="227"/>
      <c r="C801" s="227"/>
      <c r="D801" s="226"/>
      <c r="E801" s="226"/>
      <c r="F801" s="90"/>
    </row>
    <row r="802" ht="22.5" customHeight="1">
      <c r="A802" s="233"/>
      <c r="B802" s="227"/>
      <c r="C802" s="227"/>
      <c r="D802" s="226"/>
      <c r="E802" s="226"/>
      <c r="F802" s="90"/>
    </row>
    <row r="803" ht="22.5" customHeight="1">
      <c r="A803" s="233"/>
      <c r="B803" s="227"/>
      <c r="C803" s="227"/>
      <c r="D803" s="226"/>
      <c r="E803" s="226"/>
      <c r="F803" s="90"/>
    </row>
    <row r="804" ht="22.5" customHeight="1">
      <c r="A804" s="233"/>
      <c r="B804" s="227"/>
      <c r="C804" s="227"/>
      <c r="D804" s="226"/>
      <c r="E804" s="226"/>
      <c r="F804" s="90"/>
    </row>
    <row r="805" ht="22.5" customHeight="1">
      <c r="A805" s="233"/>
      <c r="B805" s="227"/>
      <c r="C805" s="227"/>
      <c r="D805" s="226"/>
      <c r="E805" s="226"/>
      <c r="F805" s="90"/>
    </row>
    <row r="806" ht="22.5" customHeight="1">
      <c r="A806" s="233"/>
      <c r="B806" s="227"/>
      <c r="C806" s="227"/>
      <c r="D806" s="226"/>
      <c r="E806" s="226"/>
      <c r="F806" s="90"/>
    </row>
    <row r="807" ht="22.5" customHeight="1">
      <c r="A807" s="233"/>
      <c r="B807" s="227"/>
      <c r="C807" s="227"/>
      <c r="D807" s="226"/>
      <c r="E807" s="226"/>
      <c r="F807" s="90"/>
    </row>
    <row r="808" ht="22.5" customHeight="1">
      <c r="A808" s="233"/>
      <c r="B808" s="227"/>
      <c r="C808" s="227"/>
      <c r="D808" s="226"/>
      <c r="E808" s="226"/>
      <c r="F808" s="90"/>
    </row>
    <row r="809" ht="22.5" customHeight="1">
      <c r="A809" s="233"/>
      <c r="B809" s="227"/>
      <c r="C809" s="227"/>
      <c r="D809" s="226"/>
      <c r="E809" s="226"/>
      <c r="F809" s="90"/>
    </row>
    <row r="810" ht="22.5" customHeight="1">
      <c r="A810" s="233"/>
      <c r="B810" s="227"/>
      <c r="C810" s="227"/>
      <c r="D810" s="226"/>
      <c r="E810" s="226"/>
      <c r="F810" s="90"/>
    </row>
    <row r="811" ht="22.5" customHeight="1">
      <c r="A811" s="233"/>
      <c r="B811" s="227"/>
      <c r="C811" s="227"/>
      <c r="D811" s="226"/>
      <c r="E811" s="226"/>
      <c r="F811" s="90"/>
    </row>
    <row r="812" ht="22.5" customHeight="1">
      <c r="A812" s="233"/>
      <c r="B812" s="227"/>
      <c r="C812" s="227"/>
      <c r="D812" s="226"/>
      <c r="E812" s="226"/>
      <c r="F812" s="90"/>
    </row>
    <row r="813" ht="22.5" customHeight="1">
      <c r="A813" s="233"/>
      <c r="B813" s="227"/>
      <c r="C813" s="227"/>
      <c r="D813" s="226"/>
      <c r="E813" s="226"/>
      <c r="F813" s="90"/>
    </row>
    <row r="814" ht="22.5" customHeight="1">
      <c r="A814" s="233"/>
      <c r="B814" s="227"/>
      <c r="C814" s="227"/>
      <c r="D814" s="226"/>
      <c r="E814" s="226"/>
      <c r="F814" s="90"/>
    </row>
    <row r="815" ht="22.5" customHeight="1">
      <c r="A815" s="233"/>
      <c r="B815" s="227"/>
      <c r="C815" s="227"/>
      <c r="D815" s="226"/>
      <c r="E815" s="226"/>
      <c r="F815" s="90"/>
    </row>
    <row r="816" ht="22.5" customHeight="1">
      <c r="A816" s="233"/>
      <c r="B816" s="227"/>
      <c r="C816" s="227"/>
      <c r="D816" s="226"/>
      <c r="E816" s="226"/>
      <c r="F816" s="90"/>
    </row>
    <row r="817" ht="22.5" customHeight="1">
      <c r="A817" s="233"/>
      <c r="B817" s="227"/>
      <c r="C817" s="227"/>
      <c r="D817" s="226"/>
      <c r="E817" s="226"/>
      <c r="F817" s="90"/>
    </row>
    <row r="818" ht="22.5" customHeight="1">
      <c r="A818" s="233"/>
      <c r="B818" s="227"/>
      <c r="C818" s="227"/>
      <c r="D818" s="226"/>
      <c r="E818" s="226"/>
      <c r="F818" s="90"/>
    </row>
    <row r="819" ht="22.5" customHeight="1">
      <c r="A819" s="233"/>
      <c r="B819" s="227"/>
      <c r="C819" s="227"/>
      <c r="D819" s="226"/>
      <c r="E819" s="226"/>
      <c r="F819" s="90"/>
    </row>
    <row r="820" ht="22.5" customHeight="1">
      <c r="A820" s="233"/>
      <c r="B820" s="227"/>
      <c r="C820" s="227"/>
      <c r="D820" s="226"/>
      <c r="E820" s="226"/>
      <c r="F820" s="90"/>
    </row>
    <row r="821" ht="22.5" customHeight="1">
      <c r="A821" s="233"/>
      <c r="B821" s="227"/>
      <c r="C821" s="227"/>
      <c r="D821" s="226"/>
      <c r="E821" s="226"/>
      <c r="F821" s="90"/>
    </row>
    <row r="822" ht="22.5" customHeight="1">
      <c r="A822" s="233"/>
      <c r="B822" s="227"/>
      <c r="C822" s="227"/>
      <c r="D822" s="226"/>
      <c r="E822" s="226"/>
      <c r="F822" s="90"/>
    </row>
    <row r="823" ht="22.5" customHeight="1">
      <c r="A823" s="233"/>
      <c r="B823" s="227"/>
      <c r="C823" s="227"/>
      <c r="D823" s="226"/>
      <c r="E823" s="226"/>
      <c r="F823" s="90"/>
    </row>
    <row r="824" ht="22.5" customHeight="1">
      <c r="A824" s="233"/>
      <c r="B824" s="227"/>
      <c r="C824" s="227"/>
      <c r="D824" s="226"/>
      <c r="E824" s="226"/>
      <c r="F824" s="90"/>
    </row>
    <row r="825" ht="22.5" customHeight="1">
      <c r="A825" s="233"/>
      <c r="B825" s="227"/>
      <c r="C825" s="227"/>
      <c r="D825" s="226"/>
      <c r="E825" s="226"/>
      <c r="F825" s="90"/>
    </row>
    <row r="826" ht="22.5" customHeight="1">
      <c r="A826" s="233"/>
      <c r="B826" s="227"/>
      <c r="C826" s="227"/>
      <c r="D826" s="226"/>
      <c r="E826" s="226"/>
      <c r="F826" s="90"/>
    </row>
    <row r="827" ht="22.5" customHeight="1">
      <c r="A827" s="233"/>
      <c r="B827" s="227"/>
      <c r="C827" s="227"/>
      <c r="D827" s="226"/>
      <c r="E827" s="226"/>
      <c r="F827" s="90"/>
    </row>
    <row r="828" ht="22.5" customHeight="1">
      <c r="A828" s="233"/>
      <c r="B828" s="227"/>
      <c r="C828" s="227"/>
      <c r="D828" s="226"/>
      <c r="E828" s="226"/>
      <c r="F828" s="90"/>
    </row>
    <row r="829" ht="22.5" customHeight="1">
      <c r="A829" s="233"/>
      <c r="B829" s="227"/>
      <c r="C829" s="227"/>
      <c r="D829" s="226"/>
      <c r="E829" s="226"/>
      <c r="F829" s="90"/>
    </row>
    <row r="830" ht="22.5" customHeight="1">
      <c r="A830" s="233"/>
      <c r="B830" s="227"/>
      <c r="C830" s="227"/>
      <c r="D830" s="226"/>
      <c r="E830" s="226"/>
      <c r="F830" s="90"/>
    </row>
    <row r="831" ht="22.5" customHeight="1">
      <c r="A831" s="233"/>
      <c r="B831" s="227"/>
      <c r="C831" s="227"/>
      <c r="D831" s="226"/>
      <c r="E831" s="226"/>
      <c r="F831" s="90"/>
    </row>
    <row r="832" ht="22.5" customHeight="1">
      <c r="A832" s="233"/>
      <c r="B832" s="227"/>
      <c r="C832" s="227"/>
      <c r="D832" s="226"/>
      <c r="E832" s="226"/>
      <c r="F832" s="90"/>
    </row>
    <row r="833" ht="22.5" customHeight="1">
      <c r="A833" s="233"/>
      <c r="B833" s="227"/>
      <c r="C833" s="227"/>
      <c r="D833" s="226"/>
      <c r="E833" s="226"/>
      <c r="F833" s="90"/>
    </row>
    <row r="834" ht="22.5" customHeight="1">
      <c r="A834" s="233"/>
      <c r="B834" s="227"/>
      <c r="C834" s="227"/>
      <c r="D834" s="226"/>
      <c r="E834" s="226"/>
      <c r="F834" s="90"/>
    </row>
    <row r="835" ht="22.5" customHeight="1">
      <c r="A835" s="233"/>
      <c r="B835" s="227"/>
      <c r="C835" s="227"/>
      <c r="D835" s="226"/>
      <c r="E835" s="226"/>
      <c r="F835" s="90"/>
    </row>
    <row r="836" ht="22.5" customHeight="1">
      <c r="A836" s="233"/>
      <c r="B836" s="227"/>
      <c r="C836" s="227"/>
      <c r="D836" s="226"/>
      <c r="E836" s="226"/>
      <c r="F836" s="90"/>
    </row>
    <row r="837" ht="22.5" customHeight="1">
      <c r="A837" s="233"/>
      <c r="B837" s="227"/>
      <c r="C837" s="227"/>
      <c r="D837" s="226"/>
      <c r="E837" s="226"/>
      <c r="F837" s="90"/>
    </row>
    <row r="838" ht="22.5" customHeight="1">
      <c r="A838" s="233"/>
      <c r="B838" s="227"/>
      <c r="C838" s="227"/>
      <c r="D838" s="226"/>
      <c r="E838" s="226"/>
      <c r="F838" s="90"/>
    </row>
    <row r="839" ht="22.5" customHeight="1">
      <c r="A839" s="233"/>
      <c r="B839" s="227"/>
      <c r="C839" s="227"/>
      <c r="D839" s="226"/>
      <c r="E839" s="226"/>
      <c r="F839" s="90"/>
    </row>
    <row r="840" ht="22.5" customHeight="1">
      <c r="A840" s="233"/>
      <c r="B840" s="227"/>
      <c r="C840" s="227"/>
      <c r="D840" s="226"/>
      <c r="E840" s="226"/>
      <c r="F840" s="90"/>
    </row>
    <row r="841" ht="22.5" customHeight="1">
      <c r="A841" s="233"/>
      <c r="B841" s="227"/>
      <c r="C841" s="227"/>
      <c r="D841" s="226"/>
      <c r="E841" s="226"/>
      <c r="F841" s="90"/>
    </row>
    <row r="842" ht="22.5" customHeight="1">
      <c r="A842" s="233"/>
      <c r="B842" s="227"/>
      <c r="C842" s="227"/>
      <c r="D842" s="226"/>
      <c r="E842" s="226"/>
      <c r="F842" s="90"/>
    </row>
    <row r="843" ht="22.5" customHeight="1">
      <c r="A843" s="233"/>
      <c r="B843" s="227"/>
      <c r="C843" s="227"/>
      <c r="D843" s="226"/>
      <c r="E843" s="226"/>
      <c r="F843" s="90"/>
    </row>
    <row r="844" ht="22.5" customHeight="1">
      <c r="A844" s="233"/>
      <c r="B844" s="227"/>
      <c r="C844" s="227"/>
      <c r="D844" s="226"/>
      <c r="E844" s="226"/>
      <c r="F844" s="90"/>
    </row>
    <row r="845" ht="22.5" customHeight="1">
      <c r="A845" s="233"/>
      <c r="B845" s="227"/>
      <c r="C845" s="227"/>
      <c r="D845" s="226"/>
      <c r="E845" s="226"/>
      <c r="F845" s="90"/>
    </row>
    <row r="846" ht="22.5" customHeight="1">
      <c r="A846" s="233"/>
      <c r="B846" s="227"/>
      <c r="C846" s="227"/>
      <c r="D846" s="226"/>
      <c r="E846" s="226"/>
      <c r="F846" s="90"/>
    </row>
    <row r="847" ht="22.5" customHeight="1">
      <c r="A847" s="233"/>
      <c r="B847" s="227"/>
      <c r="C847" s="227"/>
      <c r="D847" s="226"/>
      <c r="E847" s="226"/>
      <c r="F847" s="90"/>
    </row>
    <row r="848" ht="22.5" customHeight="1">
      <c r="A848" s="233"/>
      <c r="B848" s="227"/>
      <c r="C848" s="227"/>
      <c r="D848" s="226"/>
      <c r="E848" s="226"/>
      <c r="F848" s="90"/>
    </row>
    <row r="849" ht="22.5" customHeight="1">
      <c r="A849" s="233"/>
      <c r="B849" s="227"/>
      <c r="C849" s="227"/>
      <c r="D849" s="226"/>
      <c r="E849" s="226"/>
      <c r="F849" s="90"/>
    </row>
    <row r="850" ht="22.5" customHeight="1">
      <c r="A850" s="233"/>
      <c r="B850" s="227"/>
      <c r="C850" s="227"/>
      <c r="D850" s="226"/>
      <c r="E850" s="226"/>
      <c r="F850" s="90"/>
    </row>
    <row r="851" ht="22.5" customHeight="1">
      <c r="A851" s="233"/>
      <c r="B851" s="227"/>
      <c r="C851" s="227"/>
      <c r="D851" s="226"/>
      <c r="E851" s="226"/>
      <c r="F851" s="90"/>
    </row>
    <row r="852" ht="22.5" customHeight="1">
      <c r="A852" s="233"/>
      <c r="B852" s="227"/>
      <c r="C852" s="227"/>
      <c r="D852" s="226"/>
      <c r="E852" s="226"/>
      <c r="F852" s="90"/>
    </row>
    <row r="853" ht="22.5" customHeight="1">
      <c r="A853" s="233"/>
      <c r="B853" s="227"/>
      <c r="C853" s="227"/>
      <c r="D853" s="226"/>
      <c r="E853" s="226"/>
      <c r="F853" s="90"/>
    </row>
    <row r="854" ht="22.5" customHeight="1">
      <c r="A854" s="233"/>
      <c r="B854" s="227"/>
      <c r="C854" s="227"/>
      <c r="D854" s="226"/>
      <c r="E854" s="226"/>
      <c r="F854" s="90"/>
    </row>
    <row r="855" ht="22.5" customHeight="1">
      <c r="A855" s="233"/>
      <c r="B855" s="227"/>
      <c r="C855" s="227"/>
      <c r="D855" s="226"/>
      <c r="E855" s="226"/>
      <c r="F855" s="90"/>
    </row>
    <row r="856" ht="22.5" customHeight="1">
      <c r="A856" s="233"/>
      <c r="B856" s="227"/>
      <c r="C856" s="227"/>
      <c r="D856" s="226"/>
      <c r="E856" s="226"/>
      <c r="F856" s="90"/>
    </row>
    <row r="857" ht="22.5" customHeight="1">
      <c r="A857" s="233"/>
      <c r="B857" s="227"/>
      <c r="C857" s="227"/>
      <c r="D857" s="226"/>
      <c r="E857" s="226"/>
      <c r="F857" s="90"/>
    </row>
    <row r="858" ht="22.5" customHeight="1">
      <c r="A858" s="233"/>
      <c r="B858" s="227"/>
      <c r="C858" s="227"/>
      <c r="D858" s="226"/>
      <c r="E858" s="226"/>
      <c r="F858" s="90"/>
    </row>
    <row r="859" ht="22.5" customHeight="1">
      <c r="A859" s="233"/>
      <c r="B859" s="227"/>
      <c r="C859" s="227"/>
      <c r="D859" s="226"/>
      <c r="E859" s="226"/>
      <c r="F859" s="90"/>
    </row>
    <row r="860" ht="22.5" customHeight="1">
      <c r="A860" s="233"/>
      <c r="B860" s="227"/>
      <c r="C860" s="227"/>
      <c r="D860" s="226"/>
      <c r="E860" s="226"/>
      <c r="F860" s="90"/>
    </row>
    <row r="861" ht="22.5" customHeight="1">
      <c r="A861" s="233"/>
      <c r="B861" s="227"/>
      <c r="C861" s="227"/>
      <c r="D861" s="226"/>
      <c r="E861" s="226"/>
      <c r="F861" s="90"/>
    </row>
    <row r="862" ht="22.5" customHeight="1">
      <c r="A862" s="233"/>
      <c r="B862" s="227"/>
      <c r="C862" s="227"/>
      <c r="D862" s="226"/>
      <c r="E862" s="226"/>
      <c r="F862" s="90"/>
    </row>
    <row r="863" ht="22.5" customHeight="1">
      <c r="A863" s="233"/>
      <c r="B863" s="227"/>
      <c r="C863" s="227"/>
      <c r="D863" s="226"/>
      <c r="E863" s="226"/>
      <c r="F863" s="90"/>
    </row>
    <row r="864" ht="22.5" customHeight="1">
      <c r="A864" s="233"/>
      <c r="B864" s="227"/>
      <c r="C864" s="227"/>
      <c r="D864" s="226"/>
      <c r="E864" s="226"/>
      <c r="F864" s="90"/>
    </row>
    <row r="865" ht="22.5" customHeight="1">
      <c r="A865" s="233"/>
      <c r="B865" s="227"/>
      <c r="C865" s="227"/>
      <c r="D865" s="226"/>
      <c r="E865" s="226"/>
      <c r="F865" s="90"/>
    </row>
    <row r="866" ht="22.5" customHeight="1">
      <c r="A866" s="233"/>
      <c r="B866" s="227"/>
      <c r="C866" s="227"/>
      <c r="D866" s="226"/>
      <c r="E866" s="226"/>
      <c r="F866" s="90"/>
    </row>
    <row r="867" ht="22.5" customHeight="1">
      <c r="A867" s="233"/>
      <c r="B867" s="227"/>
      <c r="C867" s="227"/>
      <c r="D867" s="226"/>
      <c r="E867" s="226"/>
      <c r="F867" s="90"/>
    </row>
    <row r="868" ht="22.5" customHeight="1">
      <c r="A868" s="233"/>
      <c r="B868" s="227"/>
      <c r="C868" s="227"/>
      <c r="D868" s="226"/>
      <c r="E868" s="226"/>
      <c r="F868" s="90"/>
    </row>
    <row r="869" ht="22.5" customHeight="1">
      <c r="A869" s="233"/>
      <c r="B869" s="227"/>
      <c r="C869" s="227"/>
      <c r="D869" s="226"/>
      <c r="E869" s="226"/>
      <c r="F869" s="90"/>
    </row>
    <row r="870" ht="22.5" customHeight="1">
      <c r="A870" s="233"/>
      <c r="B870" s="227"/>
      <c r="C870" s="227"/>
      <c r="D870" s="226"/>
      <c r="E870" s="226"/>
      <c r="F870" s="90"/>
    </row>
    <row r="871" ht="22.5" customHeight="1">
      <c r="A871" s="233"/>
      <c r="B871" s="227"/>
      <c r="C871" s="227"/>
      <c r="D871" s="226"/>
      <c r="E871" s="226"/>
      <c r="F871" s="90"/>
    </row>
    <row r="872" ht="22.5" customHeight="1">
      <c r="A872" s="233"/>
      <c r="B872" s="227"/>
      <c r="C872" s="227"/>
      <c r="D872" s="226"/>
      <c r="E872" s="226"/>
      <c r="F872" s="90"/>
    </row>
    <row r="873" ht="22.5" customHeight="1">
      <c r="A873" s="233"/>
      <c r="B873" s="227"/>
      <c r="C873" s="227"/>
      <c r="D873" s="226"/>
      <c r="E873" s="226"/>
      <c r="F873" s="90"/>
    </row>
    <row r="874" ht="22.5" customHeight="1">
      <c r="A874" s="233"/>
      <c r="B874" s="227"/>
      <c r="C874" s="227"/>
      <c r="D874" s="226"/>
      <c r="E874" s="226"/>
      <c r="F874" s="90"/>
    </row>
    <row r="875" ht="22.5" customHeight="1">
      <c r="A875" s="233"/>
      <c r="B875" s="227"/>
      <c r="C875" s="227"/>
      <c r="D875" s="226"/>
      <c r="E875" s="226"/>
      <c r="F875" s="90"/>
    </row>
    <row r="876" ht="22.5" customHeight="1">
      <c r="A876" s="233"/>
      <c r="B876" s="227"/>
      <c r="C876" s="227"/>
      <c r="D876" s="226"/>
      <c r="E876" s="226"/>
      <c r="F876" s="90"/>
    </row>
    <row r="877" ht="22.5" customHeight="1">
      <c r="A877" s="233"/>
      <c r="B877" s="227"/>
      <c r="C877" s="227"/>
      <c r="D877" s="226"/>
      <c r="E877" s="226"/>
      <c r="F877" s="90"/>
    </row>
    <row r="878" ht="22.5" customHeight="1">
      <c r="A878" s="233"/>
      <c r="B878" s="227"/>
      <c r="C878" s="227"/>
      <c r="D878" s="226"/>
      <c r="E878" s="226"/>
      <c r="F878" s="90"/>
    </row>
    <row r="879" ht="22.5" customHeight="1">
      <c r="A879" s="233"/>
      <c r="B879" s="227"/>
      <c r="C879" s="227"/>
      <c r="D879" s="226"/>
      <c r="E879" s="226"/>
      <c r="F879" s="90"/>
    </row>
    <row r="880" ht="22.5" customHeight="1">
      <c r="A880" s="233"/>
      <c r="B880" s="227"/>
      <c r="C880" s="227"/>
      <c r="D880" s="226"/>
      <c r="E880" s="226"/>
      <c r="F880" s="90"/>
    </row>
    <row r="881" ht="22.5" customHeight="1">
      <c r="A881" s="233"/>
      <c r="B881" s="227"/>
      <c r="C881" s="227"/>
      <c r="D881" s="226"/>
      <c r="E881" s="226"/>
      <c r="F881" s="90"/>
    </row>
    <row r="882" ht="22.5" customHeight="1">
      <c r="A882" s="233"/>
      <c r="B882" s="227"/>
      <c r="C882" s="227"/>
      <c r="D882" s="226"/>
      <c r="E882" s="226"/>
      <c r="F882" s="90"/>
    </row>
    <row r="883" ht="22.5" customHeight="1">
      <c r="A883" s="233"/>
      <c r="B883" s="227"/>
      <c r="C883" s="227"/>
      <c r="D883" s="226"/>
      <c r="E883" s="226"/>
      <c r="F883" s="90"/>
    </row>
    <row r="884" ht="22.5" customHeight="1">
      <c r="A884" s="233"/>
      <c r="B884" s="227"/>
      <c r="C884" s="227"/>
      <c r="D884" s="226"/>
      <c r="E884" s="226"/>
      <c r="F884" s="90"/>
    </row>
    <row r="885" ht="22.5" customHeight="1">
      <c r="A885" s="233"/>
      <c r="B885" s="227"/>
      <c r="C885" s="227"/>
      <c r="D885" s="226"/>
      <c r="E885" s="226"/>
      <c r="F885" s="90"/>
    </row>
    <row r="886" ht="22.5" customHeight="1">
      <c r="A886" s="233"/>
      <c r="B886" s="227"/>
      <c r="C886" s="227"/>
      <c r="D886" s="226"/>
      <c r="E886" s="226"/>
      <c r="F886" s="90"/>
    </row>
    <row r="887" ht="22.5" customHeight="1">
      <c r="A887" s="233"/>
      <c r="B887" s="227"/>
      <c r="C887" s="227"/>
      <c r="D887" s="226"/>
      <c r="E887" s="226"/>
      <c r="F887" s="90"/>
    </row>
    <row r="888" ht="22.5" customHeight="1">
      <c r="A888" s="233"/>
      <c r="B888" s="227"/>
      <c r="C888" s="227"/>
      <c r="D888" s="226"/>
      <c r="E888" s="226"/>
      <c r="F888" s="90"/>
    </row>
    <row r="889" ht="22.5" customHeight="1">
      <c r="A889" s="233"/>
      <c r="B889" s="227"/>
      <c r="C889" s="227"/>
      <c r="D889" s="226"/>
      <c r="E889" s="226"/>
      <c r="F889" s="90"/>
    </row>
    <row r="890" ht="22.5" customHeight="1">
      <c r="A890" s="233"/>
      <c r="B890" s="227"/>
      <c r="C890" s="227"/>
      <c r="D890" s="226"/>
      <c r="E890" s="226"/>
      <c r="F890" s="90"/>
    </row>
    <row r="891" ht="22.5" customHeight="1">
      <c r="A891" s="233"/>
      <c r="B891" s="227"/>
      <c r="C891" s="227"/>
      <c r="D891" s="226"/>
      <c r="E891" s="226"/>
      <c r="F891" s="90"/>
    </row>
    <row r="892" ht="22.5" customHeight="1">
      <c r="A892" s="233"/>
      <c r="B892" s="227"/>
      <c r="C892" s="227"/>
      <c r="D892" s="226"/>
      <c r="E892" s="226"/>
      <c r="F892" s="90"/>
    </row>
    <row r="893" ht="22.5" customHeight="1">
      <c r="A893" s="233"/>
      <c r="B893" s="227"/>
      <c r="C893" s="227"/>
      <c r="D893" s="226"/>
      <c r="E893" s="226"/>
      <c r="F893" s="90"/>
    </row>
    <row r="894" ht="22.5" customHeight="1">
      <c r="A894" s="233"/>
      <c r="B894" s="227"/>
      <c r="C894" s="227"/>
      <c r="D894" s="226"/>
      <c r="E894" s="226"/>
      <c r="F894" s="90"/>
    </row>
    <row r="895" ht="22.5" customHeight="1">
      <c r="A895" s="233"/>
      <c r="B895" s="227"/>
      <c r="C895" s="227"/>
      <c r="D895" s="226"/>
      <c r="E895" s="226"/>
      <c r="F895" s="90"/>
    </row>
    <row r="896" ht="22.5" customHeight="1">
      <c r="A896" s="233"/>
      <c r="B896" s="227"/>
      <c r="C896" s="227"/>
      <c r="D896" s="226"/>
      <c r="E896" s="226"/>
      <c r="F896" s="90"/>
    </row>
    <row r="897" ht="22.5" customHeight="1">
      <c r="A897" s="233"/>
      <c r="B897" s="227"/>
      <c r="C897" s="227"/>
      <c r="D897" s="226"/>
      <c r="E897" s="226"/>
      <c r="F897" s="90"/>
    </row>
    <row r="898" ht="22.5" customHeight="1">
      <c r="A898" s="233"/>
      <c r="B898" s="227"/>
      <c r="C898" s="227"/>
      <c r="D898" s="226"/>
      <c r="E898" s="226"/>
      <c r="F898" s="90"/>
    </row>
    <row r="899" ht="22.5" customHeight="1">
      <c r="A899" s="233"/>
      <c r="B899" s="227"/>
      <c r="C899" s="227"/>
      <c r="D899" s="226"/>
      <c r="E899" s="226"/>
      <c r="F899" s="90"/>
    </row>
    <row r="900" ht="22.5" customHeight="1">
      <c r="A900" s="233"/>
      <c r="B900" s="227"/>
      <c r="C900" s="227"/>
      <c r="D900" s="226"/>
      <c r="E900" s="226"/>
      <c r="F900" s="90"/>
    </row>
    <row r="901" ht="22.5" customHeight="1">
      <c r="A901" s="233"/>
      <c r="B901" s="227"/>
      <c r="C901" s="227"/>
      <c r="D901" s="226"/>
      <c r="E901" s="226"/>
      <c r="F901" s="90"/>
    </row>
    <row r="902" ht="22.5" customHeight="1">
      <c r="A902" s="233"/>
      <c r="B902" s="227"/>
      <c r="C902" s="227"/>
      <c r="D902" s="226"/>
      <c r="E902" s="226"/>
      <c r="F902" s="90"/>
    </row>
    <row r="903" ht="22.5" customHeight="1">
      <c r="A903" s="233"/>
      <c r="B903" s="227"/>
      <c r="C903" s="227"/>
      <c r="D903" s="226"/>
      <c r="E903" s="226"/>
      <c r="F903" s="90"/>
    </row>
    <row r="904" ht="22.5" customHeight="1">
      <c r="A904" s="233"/>
      <c r="B904" s="227"/>
      <c r="C904" s="227"/>
      <c r="D904" s="226"/>
      <c r="E904" s="226"/>
      <c r="F904" s="90"/>
    </row>
    <row r="905" ht="22.5" customHeight="1">
      <c r="A905" s="233"/>
      <c r="B905" s="227"/>
      <c r="C905" s="227"/>
      <c r="D905" s="226"/>
      <c r="E905" s="226"/>
      <c r="F905" s="90"/>
    </row>
    <row r="906" ht="22.5" customHeight="1">
      <c r="A906" s="233"/>
      <c r="B906" s="227"/>
      <c r="C906" s="227"/>
      <c r="D906" s="226"/>
      <c r="E906" s="226"/>
      <c r="F906" s="90"/>
    </row>
    <row r="907" ht="22.5" customHeight="1">
      <c r="A907" s="233"/>
      <c r="B907" s="227"/>
      <c r="C907" s="227"/>
      <c r="D907" s="226"/>
      <c r="E907" s="226"/>
      <c r="F907" s="90"/>
    </row>
    <row r="908" ht="22.5" customHeight="1">
      <c r="A908" s="233"/>
      <c r="B908" s="227"/>
      <c r="C908" s="227"/>
      <c r="D908" s="226"/>
      <c r="E908" s="226"/>
      <c r="F908" s="90"/>
    </row>
    <row r="909" ht="22.5" customHeight="1">
      <c r="A909" s="233"/>
      <c r="B909" s="227"/>
      <c r="C909" s="227"/>
      <c r="D909" s="226"/>
      <c r="E909" s="226"/>
      <c r="F909" s="90"/>
    </row>
    <row r="910" ht="22.5" customHeight="1">
      <c r="A910" s="233"/>
      <c r="B910" s="227"/>
      <c r="C910" s="227"/>
      <c r="D910" s="226"/>
      <c r="E910" s="226"/>
      <c r="F910" s="90"/>
    </row>
    <row r="911" ht="22.5" customHeight="1">
      <c r="A911" s="233"/>
      <c r="B911" s="227"/>
      <c r="C911" s="227"/>
      <c r="D911" s="226"/>
      <c r="E911" s="226"/>
      <c r="F911" s="90"/>
    </row>
    <row r="912" ht="22.5" customHeight="1">
      <c r="A912" s="233"/>
      <c r="B912" s="227"/>
      <c r="C912" s="227"/>
      <c r="D912" s="226"/>
      <c r="E912" s="226"/>
      <c r="F912" s="90"/>
    </row>
    <row r="913" ht="22.5" customHeight="1">
      <c r="A913" s="233"/>
      <c r="B913" s="227"/>
      <c r="C913" s="227"/>
      <c r="D913" s="226"/>
      <c r="E913" s="226"/>
      <c r="F913" s="90"/>
    </row>
    <row r="914" ht="22.5" customHeight="1">
      <c r="A914" s="233"/>
      <c r="B914" s="227"/>
      <c r="C914" s="227"/>
      <c r="D914" s="226"/>
      <c r="E914" s="226"/>
      <c r="F914" s="90"/>
    </row>
    <row r="915" ht="22.5" customHeight="1">
      <c r="A915" s="233"/>
      <c r="B915" s="227"/>
      <c r="C915" s="227"/>
      <c r="D915" s="226"/>
      <c r="E915" s="226"/>
      <c r="F915" s="90"/>
    </row>
    <row r="916" ht="22.5" customHeight="1">
      <c r="A916" s="233"/>
      <c r="B916" s="227"/>
      <c r="C916" s="227"/>
      <c r="D916" s="226"/>
      <c r="E916" s="226"/>
      <c r="F916" s="90"/>
    </row>
    <row r="917" ht="22.5" customHeight="1">
      <c r="A917" s="233"/>
      <c r="B917" s="227"/>
      <c r="C917" s="227"/>
      <c r="D917" s="226"/>
      <c r="E917" s="226"/>
      <c r="F917" s="90"/>
    </row>
    <row r="918" ht="22.5" customHeight="1">
      <c r="A918" s="233"/>
      <c r="B918" s="227"/>
      <c r="C918" s="227"/>
      <c r="D918" s="226"/>
      <c r="E918" s="226"/>
      <c r="F918" s="90"/>
    </row>
    <row r="919" ht="22.5" customHeight="1">
      <c r="A919" s="233"/>
      <c r="B919" s="227"/>
      <c r="C919" s="227"/>
      <c r="D919" s="226"/>
      <c r="E919" s="226"/>
      <c r="F919" s="90"/>
    </row>
    <row r="920" ht="22.5" customHeight="1">
      <c r="A920" s="233"/>
      <c r="B920" s="227"/>
      <c r="C920" s="227"/>
      <c r="D920" s="226"/>
      <c r="E920" s="226"/>
      <c r="F920" s="90"/>
    </row>
    <row r="921" ht="22.5" customHeight="1">
      <c r="A921" s="233"/>
      <c r="B921" s="227"/>
      <c r="C921" s="227"/>
      <c r="D921" s="226"/>
      <c r="E921" s="226"/>
      <c r="F921" s="90"/>
    </row>
    <row r="922" ht="22.5" customHeight="1">
      <c r="A922" s="233"/>
      <c r="B922" s="227"/>
      <c r="C922" s="227"/>
      <c r="D922" s="226"/>
      <c r="E922" s="226"/>
      <c r="F922" s="90"/>
    </row>
    <row r="923" ht="22.5" customHeight="1">
      <c r="A923" s="233"/>
      <c r="B923" s="227"/>
      <c r="C923" s="227"/>
      <c r="D923" s="226"/>
      <c r="E923" s="226"/>
      <c r="F923" s="90"/>
    </row>
    <row r="924" ht="22.5" customHeight="1">
      <c r="A924" s="233"/>
      <c r="B924" s="227"/>
      <c r="C924" s="227"/>
      <c r="D924" s="226"/>
      <c r="E924" s="226"/>
      <c r="F924" s="90"/>
    </row>
    <row r="925" ht="22.5" customHeight="1">
      <c r="A925" s="233"/>
      <c r="B925" s="227"/>
      <c r="C925" s="227"/>
      <c r="D925" s="226"/>
      <c r="E925" s="226"/>
      <c r="F925" s="90"/>
    </row>
    <row r="926" ht="22.5" customHeight="1">
      <c r="A926" s="233"/>
      <c r="B926" s="227"/>
      <c r="C926" s="227"/>
      <c r="D926" s="226"/>
      <c r="E926" s="226"/>
      <c r="F926" s="90"/>
    </row>
    <row r="927" ht="22.5" customHeight="1">
      <c r="A927" s="233"/>
      <c r="B927" s="227"/>
      <c r="C927" s="227"/>
      <c r="D927" s="226"/>
      <c r="E927" s="226"/>
      <c r="F927" s="90"/>
    </row>
    <row r="928" ht="22.5" customHeight="1">
      <c r="A928" s="233"/>
      <c r="B928" s="227"/>
      <c r="C928" s="227"/>
      <c r="D928" s="226"/>
      <c r="E928" s="226"/>
      <c r="F928" s="90"/>
    </row>
    <row r="929" ht="22.5" customHeight="1">
      <c r="A929" s="233"/>
      <c r="B929" s="227"/>
      <c r="C929" s="227"/>
      <c r="D929" s="226"/>
      <c r="E929" s="226"/>
      <c r="F929" s="90"/>
    </row>
    <row r="930" ht="22.5" customHeight="1">
      <c r="A930" s="233"/>
      <c r="B930" s="227"/>
      <c r="C930" s="227"/>
      <c r="D930" s="226"/>
      <c r="E930" s="226"/>
      <c r="F930" s="90"/>
    </row>
    <row r="931" ht="22.5" customHeight="1">
      <c r="A931" s="233"/>
      <c r="B931" s="227"/>
      <c r="C931" s="227"/>
      <c r="D931" s="226"/>
      <c r="E931" s="226"/>
      <c r="F931" s="90"/>
    </row>
    <row r="932" ht="22.5" customHeight="1">
      <c r="A932" s="233"/>
      <c r="B932" s="227"/>
      <c r="C932" s="227"/>
      <c r="D932" s="226"/>
      <c r="E932" s="226"/>
      <c r="F932" s="90"/>
    </row>
    <row r="933" ht="22.5" customHeight="1">
      <c r="A933" s="233"/>
      <c r="B933" s="227"/>
      <c r="C933" s="227"/>
      <c r="D933" s="226"/>
      <c r="E933" s="226"/>
      <c r="F933" s="90"/>
    </row>
    <row r="934" ht="22.5" customHeight="1">
      <c r="A934" s="233"/>
      <c r="B934" s="227"/>
      <c r="C934" s="227"/>
      <c r="D934" s="226"/>
      <c r="E934" s="226"/>
      <c r="F934" s="90"/>
    </row>
    <row r="935" ht="22.5" customHeight="1">
      <c r="A935" s="233"/>
      <c r="B935" s="227"/>
      <c r="C935" s="227"/>
      <c r="D935" s="226"/>
      <c r="E935" s="226"/>
      <c r="F935" s="90"/>
    </row>
    <row r="936" ht="22.5" customHeight="1">
      <c r="A936" s="233"/>
      <c r="B936" s="227"/>
      <c r="C936" s="227"/>
      <c r="D936" s="226"/>
      <c r="E936" s="226"/>
      <c r="F936" s="90"/>
    </row>
    <row r="937" ht="22.5" customHeight="1">
      <c r="A937" s="233"/>
      <c r="B937" s="227"/>
      <c r="C937" s="227"/>
      <c r="D937" s="226"/>
      <c r="E937" s="226"/>
      <c r="F937" s="90"/>
    </row>
    <row r="938" ht="22.5" customHeight="1">
      <c r="A938" s="233"/>
      <c r="B938" s="227"/>
      <c r="C938" s="227"/>
      <c r="D938" s="226"/>
      <c r="E938" s="226"/>
      <c r="F938" s="90"/>
    </row>
    <row r="939" ht="22.5" customHeight="1">
      <c r="A939" s="233"/>
      <c r="B939" s="227"/>
      <c r="C939" s="227"/>
      <c r="D939" s="226"/>
      <c r="E939" s="226"/>
      <c r="F939" s="90"/>
    </row>
    <row r="940" ht="22.5" customHeight="1">
      <c r="A940" s="233"/>
      <c r="B940" s="227"/>
      <c r="C940" s="227"/>
      <c r="D940" s="226"/>
      <c r="E940" s="226"/>
      <c r="F940" s="90"/>
    </row>
    <row r="941" ht="22.5" customHeight="1">
      <c r="A941" s="233"/>
      <c r="B941" s="227"/>
      <c r="C941" s="227"/>
      <c r="D941" s="226"/>
      <c r="E941" s="226"/>
      <c r="F941" s="90"/>
    </row>
    <row r="942" ht="22.5" customHeight="1">
      <c r="A942" s="233"/>
      <c r="B942" s="227"/>
      <c r="C942" s="227"/>
      <c r="D942" s="226"/>
      <c r="E942" s="226"/>
      <c r="F942" s="90"/>
    </row>
    <row r="943" ht="22.5" customHeight="1">
      <c r="A943" s="233"/>
      <c r="B943" s="227"/>
      <c r="C943" s="227"/>
      <c r="D943" s="226"/>
      <c r="E943" s="226"/>
      <c r="F943" s="90"/>
    </row>
    <row r="944" ht="22.5" customHeight="1">
      <c r="A944" s="233"/>
      <c r="B944" s="227"/>
      <c r="C944" s="227"/>
      <c r="D944" s="226"/>
      <c r="E944" s="226"/>
      <c r="F944" s="90"/>
    </row>
    <row r="945" ht="22.5" customHeight="1">
      <c r="A945" s="233"/>
      <c r="B945" s="227"/>
      <c r="C945" s="227"/>
      <c r="D945" s="226"/>
      <c r="E945" s="226"/>
      <c r="F945" s="90"/>
    </row>
    <row r="946" ht="22.5" customHeight="1">
      <c r="A946" s="233"/>
      <c r="B946" s="227"/>
      <c r="C946" s="227"/>
      <c r="D946" s="226"/>
      <c r="E946" s="226"/>
      <c r="F946" s="90"/>
    </row>
    <row r="947" ht="22.5" customHeight="1">
      <c r="A947" s="233"/>
      <c r="B947" s="227"/>
      <c r="C947" s="227"/>
      <c r="D947" s="226"/>
      <c r="E947" s="226"/>
      <c r="F947" s="90"/>
    </row>
    <row r="948" ht="22.5" customHeight="1">
      <c r="A948" s="233"/>
      <c r="B948" s="227"/>
      <c r="C948" s="227"/>
      <c r="D948" s="226"/>
      <c r="E948" s="226"/>
      <c r="F948" s="90"/>
    </row>
    <row r="949" ht="22.5" customHeight="1">
      <c r="A949" s="233"/>
      <c r="B949" s="227"/>
      <c r="C949" s="227"/>
      <c r="D949" s="226"/>
      <c r="E949" s="226"/>
      <c r="F949" s="90"/>
    </row>
    <row r="950" ht="22.5" customHeight="1">
      <c r="A950" s="233"/>
      <c r="B950" s="227"/>
      <c r="C950" s="227"/>
      <c r="D950" s="226"/>
      <c r="E950" s="226"/>
      <c r="F950" s="90"/>
    </row>
    <row r="951" ht="22.5" customHeight="1">
      <c r="A951" s="233"/>
      <c r="B951" s="227"/>
      <c r="C951" s="227"/>
      <c r="D951" s="226"/>
      <c r="E951" s="226"/>
      <c r="F951" s="90"/>
    </row>
    <row r="952" ht="22.5" customHeight="1">
      <c r="A952" s="233"/>
      <c r="B952" s="227"/>
      <c r="C952" s="227"/>
      <c r="D952" s="226"/>
      <c r="E952" s="226"/>
      <c r="F952" s="90"/>
    </row>
    <row r="953" ht="22.5" customHeight="1">
      <c r="A953" s="233"/>
      <c r="B953" s="227"/>
      <c r="C953" s="227"/>
      <c r="D953" s="226"/>
      <c r="E953" s="226"/>
      <c r="F953" s="90"/>
    </row>
    <row r="954" ht="22.5" customHeight="1">
      <c r="A954" s="233"/>
      <c r="B954" s="227"/>
      <c r="C954" s="227"/>
      <c r="D954" s="226"/>
      <c r="E954" s="226"/>
      <c r="F954" s="90"/>
    </row>
    <row r="955" ht="22.5" customHeight="1">
      <c r="A955" s="233"/>
      <c r="B955" s="227"/>
      <c r="C955" s="227"/>
      <c r="D955" s="226"/>
      <c r="E955" s="226"/>
      <c r="F955" s="90"/>
    </row>
    <row r="956" ht="22.5" customHeight="1">
      <c r="A956" s="233"/>
      <c r="B956" s="227"/>
      <c r="C956" s="227"/>
      <c r="D956" s="226"/>
      <c r="E956" s="226"/>
      <c r="F956" s="90"/>
    </row>
    <row r="957" ht="22.5" customHeight="1">
      <c r="A957" s="233"/>
      <c r="B957" s="227"/>
      <c r="C957" s="227"/>
      <c r="D957" s="226"/>
      <c r="E957" s="226"/>
      <c r="F957" s="90"/>
    </row>
    <row r="958" ht="22.5" customHeight="1">
      <c r="A958" s="233"/>
      <c r="B958" s="227"/>
      <c r="C958" s="227"/>
      <c r="D958" s="226"/>
      <c r="E958" s="226"/>
      <c r="F958" s="90"/>
    </row>
    <row r="959" ht="22.5" customHeight="1">
      <c r="A959" s="233"/>
      <c r="B959" s="227"/>
      <c r="C959" s="227"/>
      <c r="D959" s="226"/>
      <c r="E959" s="226"/>
      <c r="F959" s="90"/>
    </row>
    <row r="960" ht="22.5" customHeight="1">
      <c r="A960" s="233"/>
      <c r="B960" s="227"/>
      <c r="C960" s="227"/>
      <c r="D960" s="226"/>
      <c r="E960" s="226"/>
      <c r="F960" s="90"/>
    </row>
    <row r="961" ht="22.5" customHeight="1">
      <c r="A961" s="233"/>
      <c r="B961" s="227"/>
      <c r="C961" s="227"/>
      <c r="D961" s="226"/>
      <c r="E961" s="226"/>
      <c r="F961" s="90"/>
    </row>
    <row r="962" ht="22.5" customHeight="1">
      <c r="A962" s="233"/>
      <c r="B962" s="227"/>
      <c r="C962" s="227"/>
      <c r="D962" s="226"/>
      <c r="E962" s="226"/>
      <c r="F962" s="90"/>
    </row>
    <row r="963" ht="22.5" customHeight="1">
      <c r="A963" s="233"/>
      <c r="B963" s="227"/>
      <c r="C963" s="227"/>
      <c r="D963" s="226"/>
      <c r="E963" s="226"/>
      <c r="F963" s="90"/>
    </row>
    <row r="964" ht="22.5" customHeight="1">
      <c r="A964" s="233"/>
      <c r="B964" s="227"/>
      <c r="C964" s="227"/>
      <c r="D964" s="226"/>
      <c r="E964" s="226"/>
      <c r="F964" s="90"/>
    </row>
    <row r="965" ht="22.5" customHeight="1">
      <c r="A965" s="233"/>
      <c r="B965" s="227"/>
      <c r="C965" s="227"/>
      <c r="D965" s="226"/>
      <c r="E965" s="226"/>
      <c r="F965" s="90"/>
    </row>
    <row r="966" ht="22.5" customHeight="1">
      <c r="A966" s="233"/>
      <c r="B966" s="227"/>
      <c r="C966" s="227"/>
      <c r="D966" s="226"/>
      <c r="E966" s="226"/>
      <c r="F966" s="90"/>
    </row>
    <row r="967" ht="22.5" customHeight="1">
      <c r="A967" s="233"/>
      <c r="B967" s="227"/>
      <c r="C967" s="227"/>
      <c r="D967" s="226"/>
      <c r="E967" s="226"/>
      <c r="F967" s="90"/>
    </row>
    <row r="968" ht="22.5" customHeight="1">
      <c r="A968" s="233"/>
      <c r="B968" s="227"/>
      <c r="C968" s="227"/>
      <c r="D968" s="226"/>
      <c r="E968" s="226"/>
      <c r="F968" s="90"/>
    </row>
    <row r="969" ht="22.5" customHeight="1">
      <c r="A969" s="233"/>
      <c r="B969" s="227"/>
      <c r="C969" s="227"/>
      <c r="D969" s="226"/>
      <c r="E969" s="226"/>
      <c r="F969" s="90"/>
    </row>
    <row r="970" ht="22.5" customHeight="1">
      <c r="A970" s="233"/>
      <c r="B970" s="227"/>
      <c r="C970" s="227"/>
      <c r="D970" s="226"/>
      <c r="E970" s="226"/>
      <c r="F970" s="90"/>
    </row>
    <row r="971" ht="22.5" customHeight="1">
      <c r="A971" s="233"/>
      <c r="B971" s="227"/>
      <c r="C971" s="227"/>
      <c r="D971" s="226"/>
      <c r="E971" s="226"/>
      <c r="F971" s="90"/>
    </row>
    <row r="972" ht="22.5" customHeight="1">
      <c r="A972" s="233"/>
      <c r="B972" s="227"/>
      <c r="C972" s="227"/>
      <c r="D972" s="226"/>
      <c r="E972" s="226"/>
      <c r="F972" s="90"/>
    </row>
    <row r="973" ht="22.5" customHeight="1">
      <c r="A973" s="233"/>
      <c r="B973" s="227"/>
      <c r="C973" s="227"/>
      <c r="D973" s="226"/>
      <c r="E973" s="226"/>
      <c r="F973" s="90"/>
    </row>
    <row r="974" ht="22.5" customHeight="1">
      <c r="A974" s="233"/>
      <c r="B974" s="227"/>
      <c r="C974" s="227"/>
      <c r="D974" s="226"/>
      <c r="E974" s="226"/>
      <c r="F974" s="90"/>
    </row>
    <row r="975" ht="22.5" customHeight="1">
      <c r="A975" s="233"/>
      <c r="B975" s="227"/>
      <c r="C975" s="227"/>
      <c r="D975" s="226"/>
      <c r="E975" s="226"/>
      <c r="F975" s="90"/>
    </row>
    <row r="976" ht="22.5" customHeight="1">
      <c r="A976" s="233"/>
      <c r="B976" s="227"/>
      <c r="C976" s="227"/>
      <c r="D976" s="226"/>
      <c r="E976" s="226"/>
      <c r="F976" s="90"/>
    </row>
    <row r="977" ht="22.5" customHeight="1">
      <c r="A977" s="233"/>
      <c r="B977" s="227"/>
      <c r="C977" s="227"/>
      <c r="D977" s="226"/>
      <c r="E977" s="226"/>
      <c r="F977" s="90"/>
    </row>
    <row r="978" ht="22.5" customHeight="1">
      <c r="A978" s="233"/>
      <c r="B978" s="227"/>
      <c r="C978" s="227"/>
      <c r="D978" s="226"/>
      <c r="E978" s="226"/>
      <c r="F978" s="90"/>
    </row>
    <row r="979" ht="22.5" customHeight="1">
      <c r="A979" s="233"/>
      <c r="B979" s="227"/>
      <c r="C979" s="227"/>
      <c r="D979" s="226"/>
      <c r="E979" s="226"/>
      <c r="F979" s="90"/>
    </row>
    <row r="980" ht="22.5" customHeight="1">
      <c r="A980" s="233"/>
      <c r="B980" s="227"/>
      <c r="C980" s="227"/>
      <c r="D980" s="226"/>
      <c r="E980" s="226"/>
      <c r="F980" s="90"/>
    </row>
    <row r="981" ht="22.5" customHeight="1">
      <c r="A981" s="233"/>
      <c r="B981" s="227"/>
      <c r="C981" s="227"/>
      <c r="D981" s="226"/>
      <c r="E981" s="226"/>
      <c r="F981" s="90"/>
    </row>
    <row r="982" ht="22.5" customHeight="1">
      <c r="A982" s="233"/>
      <c r="B982" s="227"/>
      <c r="C982" s="227"/>
      <c r="D982" s="226"/>
      <c r="E982" s="226"/>
      <c r="F982" s="90"/>
    </row>
    <row r="983" ht="22.5" customHeight="1">
      <c r="A983" s="233"/>
      <c r="B983" s="227"/>
      <c r="C983" s="227"/>
      <c r="D983" s="226"/>
      <c r="E983" s="226"/>
      <c r="F983" s="90"/>
    </row>
    <row r="984" ht="22.5" customHeight="1">
      <c r="A984" s="233"/>
      <c r="B984" s="227"/>
      <c r="C984" s="227"/>
      <c r="D984" s="226"/>
      <c r="E984" s="226"/>
      <c r="F984" s="90"/>
    </row>
    <row r="985" ht="22.5" customHeight="1">
      <c r="A985" s="233"/>
      <c r="B985" s="227"/>
      <c r="C985" s="227"/>
      <c r="D985" s="226"/>
      <c r="E985" s="226"/>
      <c r="F985" s="90"/>
    </row>
    <row r="986" ht="22.5" customHeight="1">
      <c r="A986" s="233"/>
      <c r="B986" s="227"/>
      <c r="C986" s="227"/>
      <c r="D986" s="226"/>
      <c r="E986" s="226"/>
      <c r="F986" s="90"/>
    </row>
    <row r="987" ht="22.5" customHeight="1">
      <c r="A987" s="233"/>
      <c r="B987" s="227"/>
      <c r="C987" s="227"/>
      <c r="D987" s="226"/>
      <c r="E987" s="226"/>
      <c r="F987" s="90"/>
    </row>
    <row r="988" ht="22.5" customHeight="1">
      <c r="A988" s="233"/>
      <c r="B988" s="227"/>
      <c r="C988" s="227"/>
      <c r="D988" s="226"/>
      <c r="E988" s="226"/>
      <c r="F988" s="90"/>
    </row>
    <row r="989" ht="22.5" customHeight="1">
      <c r="A989" s="233"/>
      <c r="B989" s="227"/>
      <c r="C989" s="227"/>
      <c r="D989" s="226"/>
      <c r="E989" s="226"/>
      <c r="F989" s="90"/>
    </row>
    <row r="990" ht="22.5" customHeight="1">
      <c r="A990" s="233"/>
      <c r="B990" s="227"/>
      <c r="C990" s="227"/>
      <c r="D990" s="226"/>
      <c r="E990" s="226"/>
      <c r="F990" s="90"/>
    </row>
    <row r="991" ht="22.5" customHeight="1">
      <c r="A991" s="233"/>
      <c r="B991" s="227"/>
      <c r="C991" s="227"/>
      <c r="D991" s="226"/>
      <c r="E991" s="226"/>
      <c r="F991" s="90"/>
    </row>
    <row r="992" ht="22.5" customHeight="1">
      <c r="A992" s="233"/>
      <c r="B992" s="227"/>
      <c r="C992" s="227"/>
      <c r="D992" s="226"/>
      <c r="E992" s="226"/>
      <c r="F992" s="90"/>
    </row>
    <row r="993" ht="22.5" customHeight="1">
      <c r="A993" s="233"/>
      <c r="B993" s="227"/>
      <c r="C993" s="227"/>
      <c r="D993" s="226"/>
      <c r="E993" s="226"/>
      <c r="F993" s="90"/>
    </row>
    <row r="994" ht="22.5" customHeight="1">
      <c r="A994" s="233"/>
      <c r="B994" s="227"/>
      <c r="C994" s="227"/>
      <c r="D994" s="226"/>
      <c r="E994" s="226"/>
      <c r="F994" s="90"/>
    </row>
    <row r="995" ht="22.5" customHeight="1">
      <c r="A995" s="233"/>
      <c r="B995" s="227"/>
      <c r="C995" s="227"/>
      <c r="D995" s="226"/>
      <c r="E995" s="226"/>
      <c r="F995" s="90"/>
    </row>
    <row r="996" ht="22.5" customHeight="1">
      <c r="A996" s="233"/>
      <c r="B996" s="227"/>
      <c r="C996" s="227"/>
      <c r="D996" s="226"/>
      <c r="E996" s="226"/>
      <c r="F996" s="90"/>
    </row>
    <row r="997" ht="22.5" customHeight="1">
      <c r="A997" s="233"/>
      <c r="B997" s="227"/>
      <c r="C997" s="227"/>
      <c r="D997" s="226"/>
      <c r="E997" s="226"/>
      <c r="F997" s="90"/>
    </row>
    <row r="998" ht="22.5" customHeight="1">
      <c r="A998" s="233"/>
      <c r="B998" s="227"/>
      <c r="C998" s="227"/>
      <c r="D998" s="226"/>
      <c r="E998" s="226"/>
      <c r="F998" s="90"/>
    </row>
    <row r="999" ht="22.5" customHeight="1">
      <c r="A999" s="233"/>
      <c r="B999" s="227"/>
      <c r="C999" s="227"/>
      <c r="D999" s="226"/>
      <c r="E999" s="226"/>
      <c r="F999" s="90"/>
    </row>
    <row r="1000" ht="22.5" customHeight="1">
      <c r="A1000" s="233"/>
      <c r="B1000" s="227"/>
      <c r="C1000" s="227"/>
      <c r="D1000" s="226"/>
      <c r="E1000" s="226"/>
      <c r="F1000" s="90"/>
    </row>
    <row r="1001" ht="22.5" customHeight="1">
      <c r="A1001" s="233"/>
      <c r="B1001" s="227"/>
      <c r="C1001" s="227"/>
      <c r="D1001" s="226"/>
      <c r="E1001" s="226"/>
      <c r="F1001" s="90"/>
    </row>
    <row r="1002" ht="22.5" customHeight="1">
      <c r="A1002" s="233"/>
      <c r="B1002" s="227"/>
      <c r="C1002" s="227"/>
      <c r="D1002" s="226"/>
      <c r="E1002" s="226"/>
      <c r="F1002" s="90"/>
    </row>
    <row r="1003" ht="22.5" customHeight="1">
      <c r="A1003" s="233"/>
      <c r="B1003" s="227"/>
      <c r="C1003" s="227"/>
      <c r="D1003" s="226"/>
      <c r="E1003" s="226"/>
      <c r="F1003" s="90"/>
    </row>
    <row r="1004" ht="22.5" customHeight="1">
      <c r="A1004" s="233"/>
      <c r="B1004" s="227"/>
      <c r="C1004" s="227"/>
      <c r="D1004" s="226"/>
      <c r="E1004" s="226"/>
      <c r="F1004" s="90"/>
    </row>
    <row r="1005" ht="22.5" customHeight="1">
      <c r="A1005" s="233"/>
      <c r="B1005" s="227"/>
      <c r="C1005" s="227"/>
      <c r="D1005" s="226"/>
      <c r="E1005" s="226"/>
      <c r="F1005" s="90"/>
    </row>
    <row r="1006" ht="22.5" customHeight="1">
      <c r="A1006" s="233"/>
      <c r="B1006" s="227"/>
      <c r="C1006" s="227"/>
      <c r="D1006" s="226"/>
      <c r="E1006" s="226"/>
      <c r="F1006" s="90"/>
    </row>
    <row r="1007" ht="22.5" customHeight="1">
      <c r="A1007" s="233"/>
      <c r="B1007" s="227"/>
      <c r="C1007" s="227"/>
      <c r="D1007" s="226"/>
      <c r="E1007" s="226"/>
      <c r="F1007" s="90"/>
    </row>
    <row r="1008" ht="22.5" customHeight="1">
      <c r="A1008" s="233"/>
      <c r="B1008" s="227"/>
      <c r="C1008" s="227"/>
      <c r="D1008" s="226"/>
      <c r="E1008" s="226"/>
      <c r="F1008" s="90"/>
    </row>
    <row r="1009" ht="22.5" customHeight="1">
      <c r="A1009" s="233"/>
      <c r="B1009" s="227"/>
      <c r="C1009" s="227"/>
      <c r="D1009" s="226"/>
      <c r="E1009" s="226"/>
      <c r="F1009" s="90"/>
    </row>
    <row r="1010" ht="22.5" customHeight="1">
      <c r="A1010" s="233"/>
      <c r="B1010" s="227"/>
      <c r="C1010" s="227"/>
      <c r="D1010" s="226"/>
      <c r="E1010" s="226"/>
      <c r="F1010" s="90"/>
    </row>
    <row r="1011" ht="22.5" customHeight="1">
      <c r="A1011" s="233"/>
      <c r="B1011" s="227"/>
      <c r="C1011" s="227"/>
      <c r="D1011" s="226"/>
      <c r="E1011" s="226"/>
      <c r="F1011" s="90"/>
    </row>
    <row r="1012" ht="22.5" customHeight="1">
      <c r="A1012" s="233"/>
      <c r="B1012" s="227"/>
      <c r="C1012" s="227"/>
      <c r="D1012" s="226"/>
      <c r="E1012" s="226"/>
      <c r="F1012" s="90"/>
    </row>
    <row r="1013" ht="22.5" customHeight="1">
      <c r="A1013" s="233"/>
      <c r="B1013" s="227"/>
      <c r="C1013" s="227"/>
      <c r="D1013" s="226"/>
      <c r="E1013" s="226"/>
      <c r="F1013" s="90"/>
    </row>
    <row r="1014" ht="22.5" customHeight="1">
      <c r="A1014" s="233"/>
      <c r="B1014" s="227"/>
      <c r="C1014" s="227"/>
      <c r="D1014" s="226"/>
      <c r="E1014" s="226"/>
      <c r="F1014" s="90"/>
    </row>
    <row r="1015" ht="22.5" customHeight="1">
      <c r="A1015" s="233"/>
      <c r="B1015" s="227"/>
      <c r="C1015" s="227"/>
      <c r="D1015" s="226"/>
      <c r="E1015" s="226"/>
      <c r="F1015" s="90"/>
    </row>
  </sheetData>
  <dataValidations>
    <dataValidation type="list" allowBlank="1" sqref="H2:I2 B2:C1015">
      <formula1>#REF!</formula1>
    </dataValidation>
    <dataValidation type="custom" allowBlank="1" showDropDown="1" sqref="G2 A2:A1015">
      <formula1>AND(ISNUMBER(A2),(NOT(OR(NOT(ISERROR(DATEVALUE(A2))), AND(ISNUMBER(A2), LEFT(CELL("format", A2))="D")))))</formula1>
    </dataValidation>
  </dataValidations>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22.63"/>
    <col customWidth="1" min="5" max="5" width="24.88"/>
    <col customWidth="1" min="6" max="6" width="22.63"/>
  </cols>
  <sheetData>
    <row r="1" ht="22.5" customHeight="1">
      <c r="A1" s="206" t="s">
        <v>1</v>
      </c>
      <c r="B1" s="206" t="s">
        <v>614</v>
      </c>
      <c r="C1" s="206" t="s">
        <v>615</v>
      </c>
      <c r="D1" s="206" t="s">
        <v>620</v>
      </c>
      <c r="E1" s="206" t="s">
        <v>119</v>
      </c>
    </row>
    <row r="2" ht="22.5" customHeight="1">
      <c r="A2" s="221">
        <v>150.0</v>
      </c>
      <c r="B2" s="238" t="s">
        <v>35</v>
      </c>
      <c r="C2" s="238" t="s">
        <v>15</v>
      </c>
      <c r="D2" s="223">
        <v>1236.08</v>
      </c>
      <c r="E2" s="211">
        <v>45726.0</v>
      </c>
    </row>
    <row r="3" ht="22.5" customHeight="1">
      <c r="A3" s="221">
        <v>270.0</v>
      </c>
      <c r="B3" s="225" t="s">
        <v>35</v>
      </c>
      <c r="C3" s="225" t="s">
        <v>15</v>
      </c>
      <c r="D3" s="223">
        <v>1372.89</v>
      </c>
      <c r="E3" s="211">
        <v>45755.0</v>
      </c>
    </row>
    <row r="4" ht="22.5" customHeight="1">
      <c r="A4" s="221">
        <v>279.0</v>
      </c>
      <c r="B4" s="225" t="s">
        <v>35</v>
      </c>
      <c r="C4" s="225" t="s">
        <v>15</v>
      </c>
      <c r="D4" s="223">
        <v>1197.25</v>
      </c>
      <c r="E4" s="211">
        <v>45819.0</v>
      </c>
    </row>
    <row r="5" ht="22.5" customHeight="1">
      <c r="A5" s="221">
        <v>7.28</v>
      </c>
      <c r="B5" s="225" t="s">
        <v>35</v>
      </c>
      <c r="C5" s="225" t="s">
        <v>15</v>
      </c>
      <c r="D5" s="223">
        <v>1362.58</v>
      </c>
      <c r="E5" s="211">
        <v>45904.0</v>
      </c>
    </row>
    <row r="6" ht="22.5" customHeight="1">
      <c r="A6" s="221">
        <v>50.0</v>
      </c>
      <c r="B6" s="225" t="s">
        <v>35</v>
      </c>
      <c r="C6" s="225" t="s">
        <v>15</v>
      </c>
      <c r="D6" s="223">
        <v>1461.6</v>
      </c>
      <c r="E6" s="211">
        <v>45912.0</v>
      </c>
    </row>
    <row r="7" ht="22.5" customHeight="1">
      <c r="A7" s="221">
        <v>17.04</v>
      </c>
      <c r="B7" s="225" t="s">
        <v>35</v>
      </c>
      <c r="C7" s="225" t="s">
        <v>15</v>
      </c>
      <c r="D7" s="223">
        <v>1471.0</v>
      </c>
      <c r="E7" s="211">
        <v>45913.0</v>
      </c>
    </row>
    <row r="8" ht="22.5" customHeight="1">
      <c r="A8" s="221">
        <v>113.94</v>
      </c>
      <c r="B8" s="225" t="s">
        <v>35</v>
      </c>
      <c r="C8" s="225" t="s">
        <v>15</v>
      </c>
      <c r="D8" s="223">
        <v>1404.77</v>
      </c>
      <c r="E8" s="211">
        <v>45924.0</v>
      </c>
    </row>
    <row r="9" ht="22.5" customHeight="1">
      <c r="A9" s="221">
        <v>14.0</v>
      </c>
      <c r="B9" s="225" t="s">
        <v>35</v>
      </c>
      <c r="C9" s="225" t="s">
        <v>15</v>
      </c>
      <c r="D9" s="279">
        <v>1475.0</v>
      </c>
      <c r="E9" s="211">
        <v>45930.0</v>
      </c>
    </row>
    <row r="10" ht="22.5" customHeight="1">
      <c r="A10" s="221">
        <v>13.27</v>
      </c>
      <c r="B10" s="225" t="s">
        <v>35</v>
      </c>
      <c r="C10" s="225" t="s">
        <v>15</v>
      </c>
      <c r="D10" s="223">
        <v>1512.26</v>
      </c>
      <c r="E10" s="211">
        <v>45932.0</v>
      </c>
    </row>
    <row r="11" ht="22.5" customHeight="1">
      <c r="A11" s="221">
        <v>10.0</v>
      </c>
      <c r="B11" s="225" t="s">
        <v>35</v>
      </c>
      <c r="C11" s="225" t="s">
        <v>15</v>
      </c>
      <c r="D11" s="223">
        <v>1522.55</v>
      </c>
      <c r="E11" s="211">
        <v>45939.0</v>
      </c>
      <c r="G11" s="280">
        <f>SUM(A10:A13)</f>
        <v>68.87</v>
      </c>
    </row>
    <row r="12" ht="22.5" customHeight="1">
      <c r="A12" s="221">
        <v>20.0</v>
      </c>
      <c r="B12" s="225" t="s">
        <v>35</v>
      </c>
      <c r="C12" s="225" t="s">
        <v>15</v>
      </c>
      <c r="D12" s="223">
        <v>1497.95</v>
      </c>
      <c r="E12" s="211">
        <v>45942.0</v>
      </c>
    </row>
    <row r="13" ht="22.5" customHeight="1">
      <c r="A13" s="221">
        <v>25.6</v>
      </c>
      <c r="B13" s="225" t="s">
        <v>35</v>
      </c>
      <c r="C13" s="225" t="s">
        <v>15</v>
      </c>
      <c r="D13" s="223">
        <v>1447.9</v>
      </c>
      <c r="E13" s="211">
        <v>45945.0</v>
      </c>
    </row>
    <row r="14" ht="22.5" customHeight="1">
      <c r="A14" s="221">
        <v>25.2</v>
      </c>
      <c r="B14" s="225" t="s">
        <v>35</v>
      </c>
      <c r="C14" s="225" t="s">
        <v>15</v>
      </c>
      <c r="D14" s="223">
        <v>1569.31</v>
      </c>
      <c r="E14" s="211">
        <v>45951.0</v>
      </c>
    </row>
    <row r="15" ht="22.5" customHeight="1">
      <c r="A15" s="221">
        <v>150.0</v>
      </c>
      <c r="B15" s="225" t="s">
        <v>35</v>
      </c>
      <c r="C15" s="225" t="s">
        <v>15</v>
      </c>
      <c r="D15" s="223">
        <v>1512.55</v>
      </c>
      <c r="E15" s="211">
        <v>46049.0</v>
      </c>
    </row>
    <row r="16" ht="22.5" customHeight="1">
      <c r="A16" s="221">
        <v>50.0</v>
      </c>
      <c r="B16" s="225" t="s">
        <v>35</v>
      </c>
      <c r="C16" s="225" t="s">
        <v>15</v>
      </c>
      <c r="D16" s="223">
        <v>1488.8</v>
      </c>
      <c r="E16" s="211">
        <v>46055.0</v>
      </c>
    </row>
    <row r="17" ht="22.5" customHeight="1">
      <c r="A17" s="221">
        <v>67.04</v>
      </c>
      <c r="B17" s="225" t="s">
        <v>35</v>
      </c>
      <c r="C17" s="225" t="s">
        <v>15</v>
      </c>
      <c r="D17" s="223">
        <v>1493.0</v>
      </c>
      <c r="E17" s="211">
        <v>46060.0</v>
      </c>
    </row>
    <row r="18" ht="22.5" customHeight="1">
      <c r="A18" s="221">
        <v>175.07</v>
      </c>
      <c r="B18" s="225" t="s">
        <v>35</v>
      </c>
      <c r="C18" s="225" t="s">
        <v>15</v>
      </c>
      <c r="D18" s="223">
        <v>1485.71</v>
      </c>
      <c r="E18" s="211">
        <v>46061.0</v>
      </c>
    </row>
    <row r="19" ht="22.5" customHeight="1">
      <c r="A19" s="221">
        <v>34.2</v>
      </c>
      <c r="B19" s="225" t="s">
        <v>35</v>
      </c>
      <c r="C19" s="225" t="s">
        <v>15</v>
      </c>
      <c r="D19" s="223">
        <v>1464.86</v>
      </c>
      <c r="E19" s="211">
        <v>46065.0</v>
      </c>
    </row>
    <row r="20" ht="22.5" customHeight="1">
      <c r="A20" s="221">
        <v>34.08</v>
      </c>
      <c r="B20" s="225" t="s">
        <v>35</v>
      </c>
      <c r="C20" s="225" t="s">
        <v>15</v>
      </c>
      <c r="D20" s="223">
        <v>1470.06</v>
      </c>
      <c r="E20" s="211">
        <v>46067.0</v>
      </c>
    </row>
    <row r="21" ht="22.5" customHeight="1">
      <c r="A21" s="221">
        <v>1.36</v>
      </c>
      <c r="B21" s="225" t="s">
        <v>35</v>
      </c>
      <c r="C21" s="225" t="s">
        <v>15</v>
      </c>
      <c r="D21" s="223">
        <v>1461.04</v>
      </c>
      <c r="E21" s="211">
        <v>46091.0</v>
      </c>
    </row>
    <row r="22" ht="22.5" customHeight="1">
      <c r="A22" s="221">
        <v>1.71</v>
      </c>
      <c r="B22" s="225" t="s">
        <v>35</v>
      </c>
      <c r="C22" s="225" t="s">
        <v>15</v>
      </c>
      <c r="D22" s="223">
        <v>1455.29</v>
      </c>
      <c r="E22" s="211">
        <v>46093.0</v>
      </c>
    </row>
    <row r="23" ht="22.5" customHeight="1">
      <c r="A23" s="221">
        <v>9.65</v>
      </c>
      <c r="B23" s="225" t="s">
        <v>35</v>
      </c>
      <c r="C23" s="225" t="s">
        <v>15</v>
      </c>
      <c r="D23" s="223">
        <v>1450.06</v>
      </c>
      <c r="E23" s="211">
        <v>46093.0</v>
      </c>
    </row>
    <row r="24" ht="22.5" customHeight="1">
      <c r="A24" s="221">
        <v>80.82</v>
      </c>
      <c r="B24" s="225" t="s">
        <v>35</v>
      </c>
      <c r="C24" s="225" t="s">
        <v>15</v>
      </c>
      <c r="D24" s="223">
        <v>1459.93</v>
      </c>
      <c r="E24" s="211">
        <v>46102.0</v>
      </c>
    </row>
    <row r="25" ht="22.5" customHeight="1">
      <c r="A25" s="221">
        <v>13.96</v>
      </c>
      <c r="B25" s="225" t="s">
        <v>35</v>
      </c>
      <c r="C25" s="225" t="s">
        <v>15</v>
      </c>
      <c r="D25" s="223">
        <v>1461.28</v>
      </c>
      <c r="E25" s="211">
        <v>46105.0</v>
      </c>
    </row>
    <row r="26" ht="22.5" customHeight="1">
      <c r="A26" s="221">
        <v>4.79</v>
      </c>
      <c r="B26" s="225" t="s">
        <v>35</v>
      </c>
      <c r="C26" s="225" t="s">
        <v>15</v>
      </c>
      <c r="D26" s="223">
        <v>1460.84</v>
      </c>
      <c r="E26" s="211">
        <v>46105.0</v>
      </c>
    </row>
    <row r="27" ht="22.5" customHeight="1">
      <c r="A27" s="221">
        <v>3.42</v>
      </c>
      <c r="B27" s="225" t="s">
        <v>35</v>
      </c>
      <c r="C27" s="225" t="s">
        <v>15</v>
      </c>
      <c r="D27" s="223">
        <v>1459.8</v>
      </c>
      <c r="E27" s="211">
        <v>46105.0</v>
      </c>
    </row>
    <row r="28" ht="22.5" customHeight="1">
      <c r="A28" s="221">
        <v>3.08</v>
      </c>
      <c r="B28" s="225" t="s">
        <v>35</v>
      </c>
      <c r="C28" s="225" t="s">
        <v>15</v>
      </c>
      <c r="D28" s="223">
        <v>1458.67</v>
      </c>
      <c r="E28" s="211">
        <v>46106.0</v>
      </c>
    </row>
    <row r="29" ht="22.5" customHeight="1">
      <c r="A29" s="221">
        <v>3.42</v>
      </c>
      <c r="B29" s="225" t="s">
        <v>35</v>
      </c>
      <c r="C29" s="225" t="s">
        <v>15</v>
      </c>
      <c r="D29" s="223">
        <v>1458.07</v>
      </c>
      <c r="E29" s="211">
        <v>46106.0</v>
      </c>
    </row>
    <row r="30" ht="22.5" customHeight="1">
      <c r="A30" s="221">
        <v>1.72</v>
      </c>
      <c r="B30" s="225" t="s">
        <v>35</v>
      </c>
      <c r="C30" s="225" t="s">
        <v>15</v>
      </c>
      <c r="D30" s="223">
        <v>1449.37</v>
      </c>
      <c r="E30" s="211">
        <v>46106.0</v>
      </c>
    </row>
    <row r="31" ht="22.5" customHeight="1">
      <c r="A31" s="212">
        <v>6.87</v>
      </c>
      <c r="B31" s="225" t="s">
        <v>35</v>
      </c>
      <c r="C31" s="225" t="s">
        <v>15</v>
      </c>
      <c r="D31" s="223">
        <v>1454.01</v>
      </c>
      <c r="E31" s="211">
        <v>46113.0</v>
      </c>
    </row>
    <row r="32" ht="22.5" customHeight="1">
      <c r="A32" s="221">
        <v>1.38</v>
      </c>
      <c r="B32" s="225" t="s">
        <v>35</v>
      </c>
      <c r="C32" s="225" t="s">
        <v>15</v>
      </c>
      <c r="D32" s="223">
        <v>1445.63</v>
      </c>
      <c r="E32" s="211">
        <v>46113.0</v>
      </c>
    </row>
    <row r="33" ht="22.5" customHeight="1">
      <c r="A33" s="212">
        <v>6.87</v>
      </c>
      <c r="B33" s="225" t="s">
        <v>35</v>
      </c>
      <c r="C33" s="225" t="s">
        <v>15</v>
      </c>
      <c r="D33" s="223">
        <v>1454.01</v>
      </c>
      <c r="E33" s="211">
        <v>46113.0</v>
      </c>
    </row>
    <row r="34" ht="22.5" customHeight="1">
      <c r="A34" s="221">
        <v>9.93</v>
      </c>
      <c r="B34" s="225" t="s">
        <v>35</v>
      </c>
      <c r="C34" s="225" t="s">
        <v>15</v>
      </c>
      <c r="D34" s="223">
        <v>1459.52</v>
      </c>
      <c r="E34" s="211">
        <v>46115.0</v>
      </c>
    </row>
    <row r="35" ht="22.5" customHeight="1">
      <c r="A35" s="221">
        <v>40.0</v>
      </c>
      <c r="B35" s="225" t="s">
        <v>35</v>
      </c>
      <c r="C35" s="227"/>
      <c r="D35" s="226"/>
      <c r="E35" s="235"/>
    </row>
    <row r="36" ht="22.5" customHeight="1">
      <c r="A36" s="233"/>
      <c r="B36" s="227"/>
      <c r="C36" s="227"/>
      <c r="D36" s="226"/>
      <c r="E36" s="235"/>
    </row>
    <row r="37" ht="22.5" customHeight="1">
      <c r="A37" s="233"/>
      <c r="B37" s="227"/>
      <c r="C37" s="227"/>
      <c r="D37" s="226"/>
      <c r="E37" s="235"/>
    </row>
    <row r="38" ht="22.5" customHeight="1">
      <c r="A38" s="233"/>
      <c r="B38" s="227"/>
      <c r="C38" s="227"/>
      <c r="D38" s="226"/>
      <c r="E38" s="235"/>
    </row>
    <row r="39" ht="22.5" customHeight="1">
      <c r="A39" s="233"/>
      <c r="B39" s="227"/>
      <c r="C39" s="227"/>
      <c r="D39" s="226"/>
      <c r="E39" s="235"/>
    </row>
    <row r="40" ht="22.5" customHeight="1">
      <c r="A40" s="233"/>
      <c r="B40" s="227"/>
      <c r="C40" s="227"/>
      <c r="D40" s="226"/>
      <c r="E40" s="235"/>
    </row>
    <row r="41" ht="22.5" customHeight="1">
      <c r="A41" s="233"/>
      <c r="B41" s="227"/>
      <c r="C41" s="227"/>
      <c r="D41" s="226"/>
      <c r="E41" s="235"/>
    </row>
    <row r="42" ht="22.5" customHeight="1">
      <c r="A42" s="233"/>
      <c r="B42" s="227"/>
      <c r="C42" s="227"/>
      <c r="D42" s="226"/>
      <c r="E42" s="235"/>
    </row>
    <row r="43" ht="22.5" customHeight="1">
      <c r="A43" s="233"/>
      <c r="B43" s="227"/>
      <c r="C43" s="227"/>
      <c r="D43" s="226"/>
      <c r="E43" s="235"/>
    </row>
    <row r="44" ht="22.5" customHeight="1">
      <c r="A44" s="233"/>
      <c r="B44" s="227"/>
      <c r="C44" s="227"/>
      <c r="D44" s="226"/>
      <c r="E44" s="235"/>
    </row>
    <row r="45" ht="22.5" customHeight="1">
      <c r="A45" s="233"/>
      <c r="B45" s="227"/>
      <c r="C45" s="227"/>
      <c r="D45" s="226"/>
      <c r="E45" s="235"/>
    </row>
    <row r="46" ht="22.5" customHeight="1">
      <c r="A46" s="233"/>
      <c r="B46" s="227"/>
      <c r="C46" s="227"/>
      <c r="D46" s="226"/>
      <c r="E46" s="235"/>
    </row>
    <row r="47" ht="22.5" customHeight="1">
      <c r="A47" s="233"/>
      <c r="B47" s="227"/>
      <c r="C47" s="227"/>
      <c r="D47" s="226"/>
      <c r="E47" s="235"/>
    </row>
    <row r="48" ht="22.5" customHeight="1">
      <c r="A48" s="233"/>
      <c r="B48" s="227"/>
      <c r="C48" s="227"/>
      <c r="D48" s="226"/>
      <c r="E48" s="235"/>
    </row>
    <row r="49" ht="22.5" customHeight="1">
      <c r="A49" s="233"/>
      <c r="B49" s="227"/>
      <c r="C49" s="227"/>
      <c r="D49" s="226"/>
      <c r="E49" s="235"/>
    </row>
    <row r="50" ht="22.5" customHeight="1">
      <c r="A50" s="233"/>
      <c r="B50" s="227"/>
      <c r="C50" s="227"/>
      <c r="D50" s="226"/>
      <c r="E50" s="235"/>
    </row>
    <row r="51" ht="22.5" customHeight="1">
      <c r="A51" s="233"/>
      <c r="B51" s="227"/>
      <c r="C51" s="227"/>
      <c r="D51" s="226"/>
      <c r="E51" s="235"/>
    </row>
    <row r="52" ht="22.5" customHeight="1">
      <c r="A52" s="233"/>
      <c r="B52" s="227"/>
      <c r="C52" s="227"/>
      <c r="D52" s="226"/>
      <c r="E52" s="235"/>
    </row>
    <row r="53" ht="22.5" customHeight="1">
      <c r="A53" s="233"/>
      <c r="B53" s="227"/>
      <c r="C53" s="227"/>
      <c r="D53" s="226"/>
      <c r="E53" s="235"/>
    </row>
    <row r="54" ht="22.5" customHeight="1">
      <c r="A54" s="233"/>
      <c r="B54" s="227"/>
      <c r="C54" s="227"/>
      <c r="D54" s="226"/>
      <c r="E54" s="235"/>
    </row>
    <row r="55" ht="22.5" customHeight="1">
      <c r="A55" s="233"/>
      <c r="B55" s="227"/>
      <c r="C55" s="227"/>
      <c r="D55" s="226"/>
      <c r="E55" s="235"/>
    </row>
    <row r="56" ht="22.5" customHeight="1">
      <c r="A56" s="233"/>
      <c r="B56" s="227"/>
      <c r="C56" s="227"/>
      <c r="D56" s="226"/>
      <c r="E56" s="235"/>
    </row>
    <row r="57" ht="22.5" customHeight="1">
      <c r="A57" s="233"/>
      <c r="B57" s="227"/>
      <c r="C57" s="227"/>
      <c r="D57" s="226"/>
      <c r="E57" s="235"/>
    </row>
    <row r="58" ht="22.5" customHeight="1">
      <c r="A58" s="233"/>
      <c r="B58" s="227"/>
      <c r="C58" s="227"/>
      <c r="D58" s="226"/>
      <c r="E58" s="235"/>
    </row>
    <row r="59" ht="22.5" customHeight="1">
      <c r="A59" s="233"/>
      <c r="B59" s="227"/>
      <c r="C59" s="227"/>
      <c r="D59" s="226"/>
      <c r="E59" s="235"/>
    </row>
    <row r="60" ht="22.5" customHeight="1">
      <c r="A60" s="233"/>
      <c r="B60" s="227"/>
      <c r="C60" s="227"/>
      <c r="D60" s="226"/>
      <c r="E60" s="235"/>
    </row>
    <row r="61" ht="22.5" customHeight="1">
      <c r="A61" s="233"/>
      <c r="B61" s="227"/>
      <c r="C61" s="227"/>
      <c r="D61" s="226"/>
      <c r="E61" s="235"/>
    </row>
    <row r="62" ht="22.5" customHeight="1">
      <c r="A62" s="233"/>
      <c r="B62" s="227"/>
      <c r="C62" s="227"/>
      <c r="D62" s="226"/>
      <c r="E62" s="235"/>
    </row>
    <row r="63" ht="22.5" customHeight="1">
      <c r="A63" s="233"/>
      <c r="B63" s="227"/>
      <c r="C63" s="227"/>
      <c r="D63" s="226"/>
      <c r="E63" s="235"/>
    </row>
    <row r="64" ht="22.5" customHeight="1">
      <c r="A64" s="233"/>
      <c r="B64" s="227"/>
      <c r="C64" s="227"/>
      <c r="D64" s="226"/>
      <c r="E64" s="235"/>
    </row>
    <row r="65" ht="22.5" customHeight="1">
      <c r="A65" s="233"/>
      <c r="B65" s="227"/>
      <c r="C65" s="227"/>
      <c r="D65" s="226"/>
      <c r="E65" s="235"/>
    </row>
    <row r="66" ht="22.5" customHeight="1">
      <c r="A66" s="233"/>
      <c r="B66" s="227"/>
      <c r="C66" s="227"/>
      <c r="D66" s="226"/>
      <c r="E66" s="235"/>
    </row>
    <row r="67" ht="22.5" customHeight="1">
      <c r="A67" s="233"/>
      <c r="B67" s="227"/>
      <c r="C67" s="227"/>
      <c r="D67" s="226"/>
      <c r="E67" s="235"/>
    </row>
    <row r="68" ht="22.5" customHeight="1">
      <c r="A68" s="233"/>
      <c r="B68" s="227"/>
      <c r="C68" s="227"/>
      <c r="D68" s="226"/>
      <c r="E68" s="235"/>
    </row>
    <row r="69" ht="22.5" customHeight="1">
      <c r="A69" s="233"/>
      <c r="B69" s="227"/>
      <c r="C69" s="227"/>
      <c r="D69" s="226"/>
      <c r="E69" s="235"/>
    </row>
    <row r="70" ht="22.5" customHeight="1">
      <c r="A70" s="233"/>
      <c r="B70" s="227"/>
      <c r="C70" s="227"/>
      <c r="D70" s="226"/>
      <c r="E70" s="235"/>
    </row>
    <row r="71" ht="22.5" customHeight="1">
      <c r="A71" s="233"/>
      <c r="B71" s="227"/>
      <c r="C71" s="227"/>
      <c r="D71" s="226"/>
      <c r="E71" s="235"/>
    </row>
    <row r="72" ht="22.5" customHeight="1">
      <c r="A72" s="233"/>
      <c r="B72" s="227"/>
      <c r="C72" s="227"/>
      <c r="D72" s="226"/>
      <c r="E72" s="235"/>
    </row>
    <row r="73" ht="22.5" customHeight="1">
      <c r="A73" s="233"/>
      <c r="B73" s="227"/>
      <c r="C73" s="227"/>
      <c r="D73" s="226"/>
      <c r="E73" s="235"/>
    </row>
    <row r="74" ht="22.5" customHeight="1">
      <c r="A74" s="233"/>
      <c r="B74" s="227"/>
      <c r="C74" s="227"/>
      <c r="D74" s="226"/>
      <c r="E74" s="235"/>
    </row>
    <row r="75" ht="22.5" customHeight="1">
      <c r="A75" s="233"/>
      <c r="B75" s="227"/>
      <c r="C75" s="227"/>
      <c r="D75" s="226"/>
      <c r="E75" s="235"/>
    </row>
    <row r="76" ht="22.5" customHeight="1">
      <c r="A76" s="233"/>
      <c r="B76" s="227"/>
      <c r="C76" s="227"/>
      <c r="D76" s="226"/>
      <c r="E76" s="235"/>
    </row>
    <row r="77" ht="22.5" customHeight="1">
      <c r="A77" s="233"/>
      <c r="B77" s="227"/>
      <c r="C77" s="227"/>
      <c r="D77" s="226"/>
      <c r="E77" s="235"/>
    </row>
    <row r="78" ht="22.5" customHeight="1">
      <c r="A78" s="233"/>
      <c r="B78" s="227"/>
      <c r="C78" s="227"/>
      <c r="D78" s="226"/>
      <c r="E78" s="235"/>
    </row>
    <row r="79" ht="22.5" customHeight="1">
      <c r="A79" s="233"/>
      <c r="B79" s="227"/>
      <c r="C79" s="227"/>
      <c r="D79" s="226"/>
      <c r="E79" s="235"/>
    </row>
    <row r="80" ht="22.5" customHeight="1">
      <c r="A80" s="233"/>
      <c r="B80" s="227"/>
      <c r="C80" s="227"/>
      <c r="D80" s="226"/>
      <c r="E80" s="235"/>
    </row>
    <row r="81" ht="22.5" customHeight="1">
      <c r="A81" s="233"/>
      <c r="B81" s="227"/>
      <c r="C81" s="227"/>
      <c r="D81" s="226"/>
      <c r="E81" s="235"/>
    </row>
    <row r="82" ht="22.5" customHeight="1">
      <c r="A82" s="233"/>
      <c r="B82" s="227"/>
      <c r="C82" s="227"/>
      <c r="D82" s="226"/>
      <c r="E82" s="235"/>
    </row>
    <row r="83" ht="22.5" customHeight="1">
      <c r="A83" s="233"/>
      <c r="B83" s="227"/>
      <c r="C83" s="227"/>
      <c r="D83" s="226"/>
      <c r="E83" s="235"/>
    </row>
    <row r="84" ht="22.5" customHeight="1">
      <c r="A84" s="233"/>
      <c r="B84" s="227"/>
      <c r="C84" s="227"/>
      <c r="D84" s="226"/>
      <c r="E84" s="235"/>
    </row>
    <row r="85" ht="22.5" customHeight="1">
      <c r="A85" s="233"/>
      <c r="B85" s="227"/>
      <c r="C85" s="227"/>
      <c r="D85" s="226"/>
      <c r="E85" s="235"/>
    </row>
    <row r="86" ht="22.5" customHeight="1">
      <c r="A86" s="233"/>
      <c r="B86" s="227"/>
      <c r="C86" s="227"/>
      <c r="D86" s="226"/>
      <c r="E86" s="235"/>
    </row>
    <row r="87" ht="22.5" customHeight="1">
      <c r="A87" s="233"/>
      <c r="B87" s="227"/>
      <c r="C87" s="227"/>
      <c r="D87" s="226"/>
      <c r="E87" s="235"/>
    </row>
    <row r="88" ht="22.5" customHeight="1">
      <c r="A88" s="233"/>
      <c r="B88" s="227"/>
      <c r="C88" s="227"/>
      <c r="D88" s="226"/>
      <c r="E88" s="235"/>
    </row>
    <row r="89" ht="22.5" customHeight="1">
      <c r="A89" s="233"/>
      <c r="B89" s="227"/>
      <c r="C89" s="227"/>
      <c r="D89" s="226"/>
      <c r="E89" s="235"/>
    </row>
    <row r="90" ht="22.5" customHeight="1">
      <c r="A90" s="233"/>
      <c r="B90" s="227"/>
      <c r="C90" s="227"/>
      <c r="D90" s="226"/>
      <c r="E90" s="235"/>
    </row>
    <row r="91" ht="22.5" customHeight="1">
      <c r="A91" s="233"/>
      <c r="B91" s="227"/>
      <c r="C91" s="227"/>
      <c r="D91" s="226"/>
      <c r="E91" s="235"/>
    </row>
    <row r="92" ht="22.5" customHeight="1">
      <c r="A92" s="233"/>
      <c r="B92" s="227"/>
      <c r="C92" s="227"/>
      <c r="D92" s="226"/>
      <c r="E92" s="235"/>
    </row>
    <row r="93" ht="22.5" customHeight="1">
      <c r="A93" s="233"/>
      <c r="B93" s="227"/>
      <c r="C93" s="227"/>
      <c r="D93" s="226"/>
      <c r="E93" s="235"/>
    </row>
    <row r="94" ht="22.5" customHeight="1">
      <c r="A94" s="233"/>
      <c r="B94" s="227"/>
      <c r="C94" s="227"/>
      <c r="D94" s="226"/>
      <c r="E94" s="235"/>
    </row>
    <row r="95" ht="22.5" customHeight="1">
      <c r="A95" s="233"/>
      <c r="B95" s="227"/>
      <c r="C95" s="227"/>
      <c r="D95" s="226"/>
      <c r="E95" s="235"/>
    </row>
    <row r="96" ht="22.5" customHeight="1">
      <c r="A96" s="233"/>
      <c r="B96" s="227"/>
      <c r="C96" s="227"/>
      <c r="D96" s="226"/>
      <c r="E96" s="235"/>
    </row>
    <row r="97" ht="22.5" customHeight="1">
      <c r="A97" s="233"/>
      <c r="B97" s="227"/>
      <c r="C97" s="227"/>
      <c r="D97" s="226"/>
      <c r="E97" s="235"/>
    </row>
    <row r="98" ht="22.5" customHeight="1">
      <c r="A98" s="233"/>
      <c r="B98" s="227"/>
      <c r="C98" s="227"/>
      <c r="D98" s="226"/>
      <c r="E98" s="235"/>
    </row>
    <row r="99" ht="22.5" customHeight="1">
      <c r="A99" s="233"/>
      <c r="B99" s="227"/>
      <c r="C99" s="227"/>
      <c r="D99" s="226"/>
      <c r="E99" s="235"/>
    </row>
    <row r="100" ht="22.5" customHeight="1">
      <c r="A100" s="233"/>
      <c r="B100" s="227"/>
      <c r="C100" s="227"/>
      <c r="D100" s="226"/>
      <c r="E100" s="235"/>
    </row>
    <row r="101" ht="22.5" customHeight="1">
      <c r="A101" s="233"/>
      <c r="B101" s="227"/>
      <c r="C101" s="227"/>
      <c r="D101" s="226"/>
      <c r="E101" s="235"/>
    </row>
    <row r="102" ht="22.5" customHeight="1">
      <c r="A102" s="233"/>
      <c r="B102" s="227"/>
      <c r="C102" s="227"/>
      <c r="D102" s="226"/>
      <c r="E102" s="235"/>
    </row>
    <row r="103" ht="22.5" customHeight="1">
      <c r="A103" s="233"/>
      <c r="B103" s="227"/>
      <c r="C103" s="227"/>
      <c r="D103" s="226"/>
      <c r="E103" s="235"/>
    </row>
    <row r="104" ht="22.5" customHeight="1">
      <c r="A104" s="233"/>
      <c r="B104" s="227"/>
      <c r="C104" s="227"/>
      <c r="D104" s="226"/>
      <c r="E104" s="235"/>
    </row>
    <row r="105" ht="22.5" customHeight="1">
      <c r="A105" s="233"/>
      <c r="B105" s="227"/>
      <c r="C105" s="227"/>
      <c r="D105" s="226"/>
      <c r="E105" s="235"/>
    </row>
    <row r="106" ht="22.5" customHeight="1">
      <c r="A106" s="233"/>
      <c r="B106" s="227"/>
      <c r="C106" s="227"/>
      <c r="D106" s="226"/>
      <c r="E106" s="235"/>
    </row>
    <row r="107" ht="22.5" customHeight="1">
      <c r="A107" s="233"/>
      <c r="B107" s="227"/>
      <c r="C107" s="227"/>
      <c r="D107" s="226"/>
      <c r="E107" s="235"/>
    </row>
    <row r="108" ht="22.5" customHeight="1">
      <c r="A108" s="233"/>
      <c r="B108" s="227"/>
      <c r="C108" s="227"/>
      <c r="D108" s="226"/>
      <c r="E108" s="235"/>
    </row>
    <row r="109" ht="22.5" customHeight="1">
      <c r="A109" s="233"/>
      <c r="B109" s="227"/>
      <c r="C109" s="227"/>
      <c r="D109" s="226"/>
      <c r="E109" s="235"/>
    </row>
    <row r="110" ht="22.5" customHeight="1">
      <c r="A110" s="233"/>
      <c r="B110" s="227"/>
      <c r="C110" s="227"/>
      <c r="D110" s="226"/>
      <c r="E110" s="235"/>
    </row>
    <row r="111" ht="22.5" customHeight="1">
      <c r="A111" s="233"/>
      <c r="B111" s="227"/>
      <c r="C111" s="227"/>
      <c r="D111" s="226"/>
      <c r="E111" s="235"/>
    </row>
    <row r="112" ht="22.5" customHeight="1">
      <c r="A112" s="233"/>
      <c r="B112" s="227"/>
      <c r="C112" s="227"/>
      <c r="D112" s="226"/>
      <c r="E112" s="235"/>
    </row>
    <row r="113" ht="22.5" customHeight="1">
      <c r="A113" s="233"/>
      <c r="B113" s="227"/>
      <c r="C113" s="227"/>
      <c r="D113" s="226"/>
      <c r="E113" s="235"/>
    </row>
    <row r="114" ht="22.5" customHeight="1">
      <c r="A114" s="233"/>
      <c r="B114" s="227"/>
      <c r="C114" s="227"/>
      <c r="D114" s="226"/>
      <c r="E114" s="235"/>
    </row>
    <row r="115" ht="22.5" customHeight="1">
      <c r="A115" s="233"/>
      <c r="B115" s="227"/>
      <c r="C115" s="227"/>
      <c r="D115" s="226"/>
      <c r="E115" s="235"/>
    </row>
    <row r="116" ht="22.5" customHeight="1">
      <c r="A116" s="233"/>
      <c r="B116" s="227"/>
      <c r="C116" s="227"/>
      <c r="D116" s="226"/>
      <c r="E116" s="235"/>
    </row>
    <row r="117" ht="22.5" customHeight="1">
      <c r="A117" s="233"/>
      <c r="B117" s="227"/>
      <c r="C117" s="227"/>
      <c r="D117" s="226"/>
      <c r="E117" s="235"/>
    </row>
    <row r="118" ht="22.5" customHeight="1">
      <c r="A118" s="233"/>
      <c r="B118" s="227"/>
      <c r="C118" s="227"/>
      <c r="D118" s="226"/>
      <c r="E118" s="235"/>
    </row>
    <row r="119" ht="22.5" customHeight="1">
      <c r="A119" s="233"/>
      <c r="B119" s="227"/>
      <c r="C119" s="227"/>
      <c r="D119" s="226"/>
      <c r="E119" s="235"/>
    </row>
    <row r="120" ht="22.5" customHeight="1">
      <c r="A120" s="233"/>
      <c r="B120" s="227"/>
      <c r="C120" s="227"/>
      <c r="D120" s="226"/>
      <c r="E120" s="235"/>
    </row>
    <row r="121" ht="22.5" customHeight="1">
      <c r="A121" s="233"/>
      <c r="B121" s="227"/>
      <c r="C121" s="227"/>
      <c r="D121" s="226"/>
      <c r="E121" s="235"/>
    </row>
    <row r="122" ht="22.5" customHeight="1">
      <c r="A122" s="233"/>
      <c r="B122" s="227"/>
      <c r="C122" s="227"/>
      <c r="D122" s="226"/>
      <c r="E122" s="235"/>
    </row>
    <row r="123" ht="22.5" customHeight="1">
      <c r="A123" s="233"/>
      <c r="B123" s="227"/>
      <c r="C123" s="227"/>
      <c r="D123" s="226"/>
      <c r="E123" s="235"/>
    </row>
    <row r="124" ht="22.5" customHeight="1">
      <c r="A124" s="233"/>
      <c r="B124" s="227"/>
      <c r="C124" s="227"/>
      <c r="D124" s="226"/>
      <c r="E124" s="235"/>
    </row>
    <row r="125" ht="22.5" customHeight="1">
      <c r="A125" s="233"/>
      <c r="B125" s="227"/>
      <c r="C125" s="227"/>
      <c r="D125" s="226"/>
      <c r="E125" s="235"/>
    </row>
    <row r="126" ht="22.5" customHeight="1">
      <c r="A126" s="233"/>
      <c r="B126" s="227"/>
      <c r="C126" s="227"/>
      <c r="D126" s="226"/>
      <c r="E126" s="235"/>
    </row>
    <row r="127" ht="22.5" customHeight="1">
      <c r="A127" s="233"/>
      <c r="B127" s="227"/>
      <c r="C127" s="227"/>
      <c r="D127" s="226"/>
      <c r="E127" s="235"/>
    </row>
    <row r="128" ht="22.5" customHeight="1">
      <c r="A128" s="233"/>
      <c r="B128" s="227"/>
      <c r="C128" s="227"/>
      <c r="D128" s="226"/>
      <c r="E128" s="235"/>
    </row>
    <row r="129" ht="22.5" customHeight="1">
      <c r="A129" s="233"/>
      <c r="B129" s="227"/>
      <c r="C129" s="227"/>
      <c r="D129" s="226"/>
      <c r="E129" s="235"/>
    </row>
    <row r="130" ht="22.5" customHeight="1">
      <c r="A130" s="233"/>
      <c r="B130" s="227"/>
      <c r="C130" s="227"/>
      <c r="D130" s="226"/>
      <c r="E130" s="235"/>
    </row>
    <row r="131" ht="22.5" customHeight="1">
      <c r="A131" s="233"/>
      <c r="B131" s="227"/>
      <c r="C131" s="227"/>
      <c r="D131" s="226"/>
      <c r="E131" s="235"/>
    </row>
    <row r="132" ht="22.5" customHeight="1">
      <c r="A132" s="233"/>
      <c r="B132" s="227"/>
      <c r="C132" s="227"/>
      <c r="D132" s="226"/>
      <c r="E132" s="235"/>
    </row>
    <row r="133" ht="22.5" customHeight="1">
      <c r="A133" s="233"/>
      <c r="B133" s="227"/>
      <c r="C133" s="227"/>
      <c r="D133" s="226"/>
      <c r="E133" s="235"/>
    </row>
    <row r="134" ht="22.5" customHeight="1">
      <c r="A134" s="233"/>
      <c r="B134" s="227"/>
      <c r="C134" s="227"/>
      <c r="D134" s="226"/>
      <c r="E134" s="235"/>
    </row>
    <row r="135" ht="22.5" customHeight="1">
      <c r="A135" s="233"/>
      <c r="B135" s="227"/>
      <c r="C135" s="227"/>
      <c r="D135" s="226"/>
      <c r="E135" s="235"/>
    </row>
    <row r="136" ht="22.5" customHeight="1">
      <c r="A136" s="233"/>
      <c r="B136" s="227"/>
      <c r="C136" s="227"/>
      <c r="D136" s="226"/>
      <c r="E136" s="235"/>
    </row>
    <row r="137" ht="22.5" customHeight="1">
      <c r="A137" s="233"/>
      <c r="B137" s="227"/>
      <c r="C137" s="227"/>
      <c r="D137" s="226"/>
      <c r="E137" s="235"/>
    </row>
    <row r="138" ht="22.5" customHeight="1">
      <c r="A138" s="233"/>
      <c r="B138" s="227"/>
      <c r="C138" s="227"/>
      <c r="D138" s="226"/>
      <c r="E138" s="235"/>
    </row>
    <row r="139" ht="22.5" customHeight="1">
      <c r="A139" s="233"/>
      <c r="B139" s="227"/>
      <c r="C139" s="227"/>
      <c r="D139" s="226"/>
      <c r="E139" s="235"/>
    </row>
    <row r="140" ht="22.5" customHeight="1">
      <c r="A140" s="233"/>
      <c r="B140" s="227"/>
      <c r="C140" s="227"/>
      <c r="D140" s="226"/>
      <c r="E140" s="235"/>
    </row>
    <row r="141" ht="22.5" customHeight="1">
      <c r="A141" s="233"/>
      <c r="B141" s="227"/>
      <c r="C141" s="227"/>
      <c r="D141" s="226"/>
      <c r="E141" s="235"/>
    </row>
    <row r="142" ht="22.5" customHeight="1">
      <c r="A142" s="233"/>
      <c r="B142" s="227"/>
      <c r="C142" s="227"/>
      <c r="D142" s="226"/>
      <c r="E142" s="235"/>
    </row>
    <row r="143" ht="22.5" customHeight="1">
      <c r="A143" s="233"/>
      <c r="B143" s="227"/>
      <c r="C143" s="227"/>
      <c r="D143" s="226"/>
      <c r="E143" s="235"/>
    </row>
    <row r="144" ht="22.5" customHeight="1">
      <c r="A144" s="233"/>
      <c r="B144" s="227"/>
      <c r="C144" s="227"/>
      <c r="D144" s="226"/>
      <c r="E144" s="235"/>
    </row>
    <row r="145" ht="22.5" customHeight="1">
      <c r="A145" s="233"/>
      <c r="B145" s="227"/>
      <c r="C145" s="227"/>
      <c r="D145" s="226"/>
      <c r="E145" s="235"/>
    </row>
    <row r="146" ht="22.5" customHeight="1">
      <c r="A146" s="233"/>
      <c r="B146" s="227"/>
      <c r="C146" s="227"/>
      <c r="D146" s="226"/>
      <c r="E146" s="235"/>
    </row>
    <row r="147" ht="22.5" customHeight="1">
      <c r="A147" s="233"/>
      <c r="B147" s="227"/>
      <c r="C147" s="227"/>
      <c r="D147" s="226"/>
      <c r="E147" s="235"/>
    </row>
    <row r="148" ht="22.5" customHeight="1">
      <c r="A148" s="233"/>
      <c r="B148" s="227"/>
      <c r="C148" s="227"/>
      <c r="D148" s="226"/>
      <c r="E148" s="235"/>
    </row>
    <row r="149" ht="22.5" customHeight="1">
      <c r="A149" s="233"/>
      <c r="B149" s="227"/>
      <c r="C149" s="227"/>
      <c r="D149" s="226"/>
      <c r="E149" s="235"/>
    </row>
    <row r="150" ht="22.5" customHeight="1">
      <c r="A150" s="233"/>
      <c r="B150" s="227"/>
      <c r="C150" s="227"/>
      <c r="D150" s="226"/>
      <c r="E150" s="235"/>
    </row>
    <row r="151" ht="22.5" customHeight="1">
      <c r="A151" s="233"/>
      <c r="B151" s="227"/>
      <c r="C151" s="227"/>
      <c r="D151" s="226"/>
      <c r="E151" s="235"/>
    </row>
    <row r="152" ht="22.5" customHeight="1">
      <c r="A152" s="233"/>
      <c r="B152" s="227"/>
      <c r="C152" s="227"/>
      <c r="D152" s="226"/>
      <c r="E152" s="235"/>
    </row>
    <row r="153" ht="22.5" customHeight="1">
      <c r="A153" s="233"/>
      <c r="B153" s="227"/>
      <c r="C153" s="227"/>
      <c r="D153" s="226"/>
      <c r="E153" s="235"/>
    </row>
    <row r="154" ht="22.5" customHeight="1">
      <c r="A154" s="233"/>
      <c r="B154" s="227"/>
      <c r="C154" s="227"/>
      <c r="D154" s="226"/>
      <c r="E154" s="235"/>
    </row>
    <row r="155" ht="22.5" customHeight="1">
      <c r="A155" s="233"/>
      <c r="B155" s="227"/>
      <c r="C155" s="227"/>
      <c r="D155" s="226"/>
      <c r="E155" s="235"/>
    </row>
    <row r="156" ht="22.5" customHeight="1">
      <c r="A156" s="233"/>
      <c r="B156" s="227"/>
      <c r="C156" s="227"/>
      <c r="D156" s="226"/>
      <c r="E156" s="235"/>
    </row>
    <row r="157" ht="22.5" customHeight="1">
      <c r="A157" s="233"/>
      <c r="B157" s="227"/>
      <c r="C157" s="227"/>
      <c r="D157" s="226"/>
      <c r="E157" s="235"/>
    </row>
    <row r="158" ht="22.5" customHeight="1">
      <c r="A158" s="233"/>
      <c r="B158" s="227"/>
      <c r="C158" s="227"/>
      <c r="D158" s="226"/>
      <c r="E158" s="235"/>
    </row>
    <row r="159" ht="22.5" customHeight="1">
      <c r="A159" s="233"/>
      <c r="B159" s="227"/>
      <c r="C159" s="227"/>
      <c r="D159" s="226"/>
      <c r="E159" s="235"/>
    </row>
    <row r="160" ht="22.5" customHeight="1">
      <c r="A160" s="233"/>
      <c r="B160" s="227"/>
      <c r="C160" s="227"/>
      <c r="D160" s="226"/>
      <c r="E160" s="235"/>
    </row>
    <row r="161" ht="22.5" customHeight="1">
      <c r="A161" s="233"/>
      <c r="B161" s="227"/>
      <c r="C161" s="227"/>
      <c r="D161" s="226"/>
      <c r="E161" s="235"/>
    </row>
    <row r="162" ht="22.5" customHeight="1">
      <c r="A162" s="233"/>
      <c r="B162" s="227"/>
      <c r="C162" s="227"/>
      <c r="D162" s="226"/>
      <c r="E162" s="235"/>
    </row>
    <row r="163" ht="22.5" customHeight="1">
      <c r="A163" s="233"/>
      <c r="B163" s="227"/>
      <c r="C163" s="227"/>
      <c r="D163" s="226"/>
      <c r="E163" s="235"/>
    </row>
    <row r="164" ht="22.5" customHeight="1">
      <c r="A164" s="233"/>
      <c r="B164" s="227"/>
      <c r="C164" s="227"/>
      <c r="D164" s="226"/>
      <c r="E164" s="235"/>
    </row>
    <row r="165" ht="22.5" customHeight="1">
      <c r="A165" s="233"/>
      <c r="B165" s="227"/>
      <c r="C165" s="227"/>
      <c r="D165" s="226"/>
      <c r="E165" s="235"/>
    </row>
    <row r="166" ht="22.5" customHeight="1">
      <c r="A166" s="233"/>
      <c r="B166" s="227"/>
      <c r="C166" s="227"/>
      <c r="D166" s="226"/>
      <c r="E166" s="235"/>
    </row>
    <row r="167" ht="22.5" customHeight="1">
      <c r="A167" s="233"/>
      <c r="B167" s="227"/>
      <c r="C167" s="227"/>
      <c r="D167" s="226"/>
      <c r="E167" s="235"/>
    </row>
    <row r="168" ht="22.5" customHeight="1">
      <c r="A168" s="233"/>
      <c r="B168" s="227"/>
      <c r="C168" s="227"/>
      <c r="D168" s="226"/>
      <c r="E168" s="235"/>
    </row>
    <row r="169" ht="22.5" customHeight="1">
      <c r="A169" s="233"/>
      <c r="B169" s="227"/>
      <c r="C169" s="227"/>
      <c r="D169" s="226"/>
      <c r="E169" s="235"/>
    </row>
    <row r="170" ht="22.5" customHeight="1">
      <c r="A170" s="233"/>
      <c r="B170" s="227"/>
      <c r="C170" s="227"/>
      <c r="D170" s="226"/>
      <c r="E170" s="235"/>
    </row>
    <row r="171" ht="22.5" customHeight="1">
      <c r="A171" s="233"/>
      <c r="B171" s="227"/>
      <c r="C171" s="227"/>
      <c r="D171" s="226"/>
      <c r="E171" s="235"/>
    </row>
    <row r="172" ht="22.5" customHeight="1">
      <c r="A172" s="233"/>
      <c r="B172" s="227"/>
      <c r="C172" s="227"/>
      <c r="D172" s="226"/>
      <c r="E172" s="235"/>
    </row>
    <row r="173" ht="22.5" customHeight="1">
      <c r="A173" s="233"/>
      <c r="B173" s="227"/>
      <c r="C173" s="227"/>
      <c r="D173" s="226"/>
      <c r="E173" s="235"/>
    </row>
    <row r="174" ht="22.5" customHeight="1">
      <c r="A174" s="233"/>
      <c r="B174" s="227"/>
      <c r="C174" s="227"/>
      <c r="D174" s="226"/>
      <c r="E174" s="235"/>
    </row>
    <row r="175" ht="22.5" customHeight="1">
      <c r="A175" s="233"/>
      <c r="B175" s="227"/>
      <c r="C175" s="227"/>
      <c r="D175" s="226"/>
      <c r="E175" s="235"/>
    </row>
    <row r="176" ht="22.5" customHeight="1">
      <c r="A176" s="233"/>
      <c r="B176" s="227"/>
      <c r="C176" s="227"/>
      <c r="D176" s="226"/>
      <c r="E176" s="235"/>
    </row>
    <row r="177" ht="22.5" customHeight="1">
      <c r="A177" s="233"/>
      <c r="B177" s="227"/>
      <c r="C177" s="227"/>
      <c r="D177" s="226"/>
      <c r="E177" s="235"/>
    </row>
    <row r="178" ht="22.5" customHeight="1">
      <c r="A178" s="233"/>
      <c r="B178" s="227"/>
      <c r="C178" s="227"/>
      <c r="D178" s="226"/>
      <c r="E178" s="235"/>
    </row>
    <row r="179" ht="22.5" customHeight="1">
      <c r="A179" s="233"/>
      <c r="B179" s="227"/>
      <c r="C179" s="227"/>
      <c r="D179" s="226"/>
      <c r="E179" s="235"/>
    </row>
    <row r="180" ht="22.5" customHeight="1">
      <c r="A180" s="233"/>
      <c r="B180" s="227"/>
      <c r="C180" s="227"/>
      <c r="D180" s="226"/>
      <c r="E180" s="235"/>
    </row>
    <row r="181" ht="22.5" customHeight="1">
      <c r="A181" s="233"/>
      <c r="B181" s="227"/>
      <c r="C181" s="227"/>
      <c r="D181" s="226"/>
      <c r="E181" s="235"/>
    </row>
    <row r="182" ht="22.5" customHeight="1">
      <c r="A182" s="233"/>
      <c r="B182" s="227"/>
      <c r="C182" s="227"/>
      <c r="D182" s="226"/>
      <c r="E182" s="235"/>
    </row>
    <row r="183" ht="22.5" customHeight="1">
      <c r="A183" s="233"/>
      <c r="B183" s="227"/>
      <c r="C183" s="227"/>
      <c r="D183" s="226"/>
      <c r="E183" s="235"/>
    </row>
    <row r="184" ht="22.5" customHeight="1">
      <c r="A184" s="233"/>
      <c r="B184" s="227"/>
      <c r="C184" s="227"/>
      <c r="D184" s="226"/>
      <c r="E184" s="235"/>
    </row>
    <row r="185" ht="22.5" customHeight="1">
      <c r="A185" s="233"/>
      <c r="B185" s="227"/>
      <c r="C185" s="227"/>
      <c r="D185" s="226"/>
      <c r="E185" s="235"/>
    </row>
    <row r="186" ht="22.5" customHeight="1">
      <c r="A186" s="233"/>
      <c r="B186" s="227"/>
      <c r="C186" s="227"/>
      <c r="D186" s="226"/>
      <c r="E186" s="235"/>
    </row>
    <row r="187" ht="22.5" customHeight="1">
      <c r="A187" s="233"/>
      <c r="B187" s="227"/>
      <c r="C187" s="227"/>
      <c r="D187" s="226"/>
      <c r="E187" s="235"/>
    </row>
    <row r="188" ht="22.5" customHeight="1">
      <c r="A188" s="233"/>
      <c r="B188" s="227"/>
      <c r="C188" s="227"/>
      <c r="D188" s="226"/>
      <c r="E188" s="235"/>
    </row>
    <row r="189" ht="22.5" customHeight="1">
      <c r="A189" s="233"/>
      <c r="B189" s="227"/>
      <c r="C189" s="227"/>
      <c r="D189" s="226"/>
      <c r="E189" s="235"/>
    </row>
    <row r="190" ht="22.5" customHeight="1">
      <c r="A190" s="233"/>
      <c r="B190" s="227"/>
      <c r="C190" s="227"/>
      <c r="D190" s="226"/>
      <c r="E190" s="235"/>
    </row>
    <row r="191" ht="22.5" customHeight="1">
      <c r="A191" s="233"/>
      <c r="B191" s="227"/>
      <c r="C191" s="227"/>
      <c r="D191" s="226"/>
      <c r="E191" s="235"/>
    </row>
    <row r="192" ht="22.5" customHeight="1">
      <c r="A192" s="233"/>
      <c r="B192" s="227"/>
      <c r="C192" s="227"/>
      <c r="D192" s="226"/>
      <c r="E192" s="235"/>
    </row>
    <row r="193" ht="22.5" customHeight="1">
      <c r="A193" s="233"/>
      <c r="B193" s="227"/>
      <c r="C193" s="227"/>
      <c r="D193" s="226"/>
      <c r="E193" s="235"/>
    </row>
    <row r="194" ht="22.5" customHeight="1">
      <c r="A194" s="233"/>
      <c r="B194" s="227"/>
      <c r="C194" s="227"/>
      <c r="D194" s="226"/>
      <c r="E194" s="235"/>
    </row>
    <row r="195" ht="22.5" customHeight="1">
      <c r="A195" s="233"/>
      <c r="B195" s="227"/>
      <c r="C195" s="227"/>
      <c r="D195" s="226"/>
      <c r="E195" s="235"/>
    </row>
    <row r="196" ht="22.5" customHeight="1">
      <c r="A196" s="233"/>
      <c r="B196" s="227"/>
      <c r="C196" s="227"/>
      <c r="D196" s="226"/>
      <c r="E196" s="235"/>
    </row>
    <row r="197" ht="22.5" customHeight="1">
      <c r="A197" s="233"/>
      <c r="B197" s="227"/>
      <c r="C197" s="227"/>
      <c r="D197" s="226"/>
      <c r="E197" s="235"/>
    </row>
    <row r="198" ht="22.5" customHeight="1">
      <c r="A198" s="233"/>
      <c r="B198" s="227"/>
      <c r="C198" s="227"/>
      <c r="D198" s="226"/>
      <c r="E198" s="235"/>
    </row>
    <row r="199" ht="22.5" customHeight="1">
      <c r="A199" s="233"/>
      <c r="B199" s="227"/>
      <c r="C199" s="227"/>
      <c r="D199" s="226"/>
      <c r="E199" s="235"/>
    </row>
    <row r="200" ht="22.5" customHeight="1">
      <c r="A200" s="233"/>
      <c r="B200" s="227"/>
      <c r="C200" s="227"/>
      <c r="D200" s="226"/>
      <c r="E200" s="235"/>
    </row>
    <row r="201" ht="22.5" customHeight="1">
      <c r="A201" s="233"/>
      <c r="B201" s="227"/>
      <c r="C201" s="227"/>
      <c r="D201" s="226"/>
      <c r="E201" s="235"/>
    </row>
    <row r="202" ht="22.5" customHeight="1">
      <c r="A202" s="233"/>
      <c r="B202" s="227"/>
      <c r="C202" s="227"/>
      <c r="D202" s="226"/>
      <c r="E202" s="235"/>
    </row>
    <row r="203" ht="22.5" customHeight="1">
      <c r="A203" s="233"/>
      <c r="B203" s="227"/>
      <c r="C203" s="227"/>
      <c r="D203" s="226"/>
      <c r="E203" s="235"/>
    </row>
    <row r="204" ht="22.5" customHeight="1">
      <c r="A204" s="233"/>
      <c r="B204" s="227"/>
      <c r="C204" s="227"/>
      <c r="D204" s="226"/>
      <c r="E204" s="235"/>
    </row>
    <row r="205" ht="22.5" customHeight="1">
      <c r="A205" s="233"/>
      <c r="B205" s="227"/>
      <c r="C205" s="227"/>
      <c r="D205" s="226"/>
      <c r="E205" s="235"/>
    </row>
    <row r="206" ht="22.5" customHeight="1">
      <c r="A206" s="233"/>
      <c r="B206" s="227"/>
      <c r="C206" s="227"/>
      <c r="D206" s="226"/>
      <c r="E206" s="235"/>
    </row>
    <row r="207" ht="22.5" customHeight="1">
      <c r="A207" s="233"/>
      <c r="B207" s="227"/>
      <c r="C207" s="227"/>
      <c r="D207" s="226"/>
      <c r="E207" s="235"/>
    </row>
    <row r="208" ht="22.5" customHeight="1">
      <c r="A208" s="233"/>
      <c r="B208" s="227"/>
      <c r="C208" s="227"/>
      <c r="D208" s="226"/>
      <c r="E208" s="235"/>
    </row>
    <row r="209" ht="22.5" customHeight="1">
      <c r="A209" s="233"/>
      <c r="B209" s="227"/>
      <c r="C209" s="227"/>
      <c r="D209" s="226"/>
      <c r="E209" s="235"/>
    </row>
    <row r="210" ht="22.5" customHeight="1">
      <c r="A210" s="233"/>
      <c r="B210" s="227"/>
      <c r="C210" s="227"/>
      <c r="D210" s="226"/>
      <c r="E210" s="235"/>
    </row>
    <row r="211" ht="22.5" customHeight="1">
      <c r="A211" s="233"/>
      <c r="B211" s="227"/>
      <c r="C211" s="227"/>
      <c r="D211" s="226"/>
      <c r="E211" s="235"/>
    </row>
    <row r="212" ht="22.5" customHeight="1">
      <c r="A212" s="233"/>
      <c r="B212" s="227"/>
      <c r="C212" s="227"/>
      <c r="D212" s="226"/>
      <c r="E212" s="235"/>
    </row>
    <row r="213" ht="22.5" customHeight="1">
      <c r="A213" s="233"/>
      <c r="B213" s="227"/>
      <c r="C213" s="227"/>
      <c r="D213" s="226"/>
      <c r="E213" s="235"/>
    </row>
    <row r="214" ht="22.5" customHeight="1">
      <c r="A214" s="233"/>
      <c r="B214" s="227"/>
      <c r="C214" s="227"/>
      <c r="D214" s="226"/>
      <c r="E214" s="235"/>
    </row>
    <row r="215" ht="22.5" customHeight="1">
      <c r="A215" s="233"/>
      <c r="B215" s="227"/>
      <c r="C215" s="227"/>
      <c r="D215" s="226"/>
      <c r="E215" s="235"/>
    </row>
    <row r="216" ht="22.5" customHeight="1">
      <c r="A216" s="233"/>
      <c r="B216" s="227"/>
      <c r="C216" s="227"/>
      <c r="D216" s="226"/>
      <c r="E216" s="235"/>
    </row>
    <row r="217" ht="22.5" customHeight="1">
      <c r="A217" s="233"/>
      <c r="B217" s="227"/>
      <c r="C217" s="227"/>
      <c r="D217" s="226"/>
      <c r="E217" s="235"/>
    </row>
    <row r="218" ht="22.5" customHeight="1">
      <c r="A218" s="233"/>
      <c r="B218" s="227"/>
      <c r="C218" s="227"/>
      <c r="D218" s="226"/>
      <c r="E218" s="235"/>
    </row>
    <row r="219" ht="22.5" customHeight="1">
      <c r="A219" s="233"/>
      <c r="B219" s="227"/>
      <c r="C219" s="227"/>
      <c r="D219" s="226"/>
      <c r="E219" s="235"/>
    </row>
    <row r="220" ht="22.5" customHeight="1">
      <c r="A220" s="233"/>
      <c r="B220" s="227"/>
      <c r="C220" s="227"/>
      <c r="D220" s="226"/>
      <c r="E220" s="235"/>
    </row>
    <row r="221" ht="22.5" customHeight="1">
      <c r="A221" s="233"/>
      <c r="B221" s="227"/>
      <c r="C221" s="227"/>
      <c r="D221" s="226"/>
      <c r="E221" s="235"/>
    </row>
    <row r="222" ht="22.5" customHeight="1">
      <c r="A222" s="233"/>
      <c r="B222" s="227"/>
      <c r="C222" s="227"/>
      <c r="D222" s="226"/>
      <c r="E222" s="235"/>
    </row>
    <row r="223" ht="22.5" customHeight="1">
      <c r="A223" s="233"/>
      <c r="B223" s="227"/>
      <c r="C223" s="227"/>
      <c r="D223" s="226"/>
      <c r="E223" s="235"/>
    </row>
    <row r="224" ht="22.5" customHeight="1">
      <c r="A224" s="233"/>
      <c r="B224" s="227"/>
      <c r="C224" s="227"/>
      <c r="D224" s="226"/>
      <c r="E224" s="235"/>
    </row>
    <row r="225" ht="22.5" customHeight="1">
      <c r="A225" s="233"/>
      <c r="B225" s="227"/>
      <c r="C225" s="227"/>
      <c r="D225" s="226"/>
      <c r="E225" s="235"/>
    </row>
    <row r="226" ht="22.5" customHeight="1">
      <c r="A226" s="233"/>
      <c r="B226" s="227"/>
      <c r="C226" s="227"/>
      <c r="D226" s="226"/>
      <c r="E226" s="235"/>
    </row>
    <row r="227" ht="22.5" customHeight="1">
      <c r="A227" s="233"/>
      <c r="B227" s="227"/>
      <c r="C227" s="227"/>
      <c r="D227" s="226"/>
      <c r="E227" s="235"/>
    </row>
    <row r="228" ht="22.5" customHeight="1">
      <c r="A228" s="233"/>
      <c r="B228" s="227"/>
      <c r="C228" s="227"/>
      <c r="D228" s="226"/>
      <c r="E228" s="235"/>
    </row>
    <row r="229" ht="22.5" customHeight="1">
      <c r="A229" s="233"/>
      <c r="B229" s="227"/>
      <c r="C229" s="227"/>
      <c r="D229" s="226"/>
      <c r="E229" s="235"/>
    </row>
    <row r="230" ht="22.5" customHeight="1">
      <c r="A230" s="233"/>
      <c r="B230" s="227"/>
      <c r="C230" s="227"/>
      <c r="D230" s="226"/>
      <c r="E230" s="235"/>
    </row>
    <row r="231" ht="22.5" customHeight="1">
      <c r="A231" s="233"/>
      <c r="B231" s="227"/>
      <c r="C231" s="227"/>
      <c r="D231" s="226"/>
      <c r="E231" s="235"/>
    </row>
    <row r="232" ht="22.5" customHeight="1">
      <c r="A232" s="233"/>
      <c r="B232" s="227"/>
      <c r="C232" s="227"/>
      <c r="D232" s="226"/>
      <c r="E232" s="235"/>
    </row>
    <row r="233" ht="22.5" customHeight="1">
      <c r="A233" s="233"/>
      <c r="B233" s="227"/>
      <c r="C233" s="227"/>
      <c r="D233" s="226"/>
      <c r="E233" s="235"/>
    </row>
    <row r="234" ht="22.5" customHeight="1">
      <c r="A234" s="233"/>
      <c r="B234" s="227"/>
      <c r="C234" s="227"/>
      <c r="D234" s="226"/>
      <c r="E234" s="235"/>
    </row>
    <row r="235" ht="22.5" customHeight="1">
      <c r="A235" s="233"/>
      <c r="B235" s="227"/>
      <c r="C235" s="227"/>
      <c r="D235" s="226"/>
      <c r="E235" s="235"/>
    </row>
    <row r="236" ht="22.5" customHeight="1">
      <c r="A236" s="233"/>
      <c r="B236" s="227"/>
      <c r="C236" s="227"/>
      <c r="D236" s="226"/>
      <c r="E236" s="235"/>
    </row>
    <row r="237" ht="22.5" customHeight="1">
      <c r="A237" s="233"/>
      <c r="B237" s="227"/>
      <c r="C237" s="227"/>
      <c r="D237" s="226"/>
      <c r="E237" s="235"/>
    </row>
    <row r="238" ht="22.5" customHeight="1">
      <c r="A238" s="233"/>
      <c r="B238" s="227"/>
      <c r="C238" s="227"/>
      <c r="D238" s="226"/>
      <c r="E238" s="235"/>
    </row>
    <row r="239" ht="22.5" customHeight="1">
      <c r="A239" s="233"/>
      <c r="B239" s="227"/>
      <c r="C239" s="227"/>
      <c r="D239" s="226"/>
      <c r="E239" s="235"/>
    </row>
    <row r="240" ht="22.5" customHeight="1">
      <c r="A240" s="233"/>
      <c r="B240" s="227"/>
      <c r="C240" s="227"/>
      <c r="D240" s="226"/>
      <c r="E240" s="235"/>
    </row>
    <row r="241" ht="22.5" customHeight="1">
      <c r="A241" s="233"/>
      <c r="B241" s="227"/>
      <c r="C241" s="227"/>
      <c r="D241" s="226"/>
      <c r="E241" s="235"/>
    </row>
    <row r="242" ht="22.5" customHeight="1">
      <c r="A242" s="233"/>
      <c r="B242" s="227"/>
      <c r="C242" s="227"/>
      <c r="D242" s="226"/>
      <c r="E242" s="235"/>
    </row>
    <row r="243" ht="22.5" customHeight="1">
      <c r="A243" s="233"/>
      <c r="B243" s="227"/>
      <c r="C243" s="227"/>
      <c r="D243" s="226"/>
      <c r="E243" s="235"/>
    </row>
    <row r="244" ht="22.5" customHeight="1">
      <c r="A244" s="233"/>
      <c r="B244" s="227"/>
      <c r="C244" s="227"/>
      <c r="D244" s="226"/>
      <c r="E244" s="235"/>
    </row>
    <row r="245" ht="22.5" customHeight="1">
      <c r="A245" s="233"/>
      <c r="B245" s="227"/>
      <c r="C245" s="227"/>
      <c r="D245" s="226"/>
      <c r="E245" s="235"/>
    </row>
    <row r="246" ht="22.5" customHeight="1">
      <c r="A246" s="233"/>
      <c r="B246" s="227"/>
      <c r="C246" s="227"/>
      <c r="D246" s="226"/>
      <c r="E246" s="235"/>
    </row>
    <row r="247" ht="22.5" customHeight="1">
      <c r="A247" s="233"/>
      <c r="B247" s="227"/>
      <c r="C247" s="227"/>
      <c r="D247" s="226"/>
      <c r="E247" s="235"/>
    </row>
    <row r="248" ht="22.5" customHeight="1">
      <c r="A248" s="233"/>
      <c r="B248" s="227"/>
      <c r="C248" s="227"/>
      <c r="D248" s="226"/>
      <c r="E248" s="235"/>
    </row>
    <row r="249" ht="22.5" customHeight="1">
      <c r="A249" s="233"/>
      <c r="B249" s="227"/>
      <c r="C249" s="227"/>
      <c r="D249" s="226"/>
      <c r="E249" s="235"/>
    </row>
    <row r="250" ht="22.5" customHeight="1">
      <c r="A250" s="233"/>
      <c r="B250" s="227"/>
      <c r="C250" s="227"/>
      <c r="D250" s="226"/>
      <c r="E250" s="235"/>
    </row>
    <row r="251" ht="22.5" customHeight="1">
      <c r="A251" s="233"/>
      <c r="B251" s="227"/>
      <c r="C251" s="227"/>
      <c r="D251" s="226"/>
      <c r="E251" s="235"/>
    </row>
    <row r="252" ht="22.5" customHeight="1">
      <c r="A252" s="233"/>
      <c r="B252" s="227"/>
      <c r="C252" s="227"/>
      <c r="D252" s="226"/>
      <c r="E252" s="235"/>
    </row>
    <row r="253" ht="22.5" customHeight="1">
      <c r="A253" s="233"/>
      <c r="B253" s="227"/>
      <c r="C253" s="227"/>
      <c r="D253" s="226"/>
      <c r="E253" s="235"/>
    </row>
    <row r="254" ht="22.5" customHeight="1">
      <c r="A254" s="233"/>
      <c r="B254" s="227"/>
      <c r="C254" s="227"/>
      <c r="D254" s="226"/>
      <c r="E254" s="235"/>
    </row>
    <row r="255" ht="22.5" customHeight="1">
      <c r="A255" s="233"/>
      <c r="B255" s="227"/>
      <c r="C255" s="227"/>
      <c r="D255" s="226"/>
      <c r="E255" s="235"/>
    </row>
    <row r="256" ht="22.5" customHeight="1">
      <c r="A256" s="233"/>
      <c r="B256" s="227"/>
      <c r="C256" s="227"/>
      <c r="D256" s="226"/>
      <c r="E256" s="235"/>
    </row>
    <row r="257" ht="22.5" customHeight="1">
      <c r="A257" s="233"/>
      <c r="B257" s="227"/>
      <c r="C257" s="227"/>
      <c r="D257" s="226"/>
      <c r="E257" s="235"/>
    </row>
    <row r="258" ht="22.5" customHeight="1">
      <c r="A258" s="233"/>
      <c r="B258" s="227"/>
      <c r="C258" s="227"/>
      <c r="D258" s="226"/>
      <c r="E258" s="235"/>
    </row>
    <row r="259" ht="22.5" customHeight="1">
      <c r="A259" s="233"/>
      <c r="B259" s="227"/>
      <c r="C259" s="227"/>
      <c r="D259" s="226"/>
      <c r="E259" s="235"/>
    </row>
    <row r="260" ht="22.5" customHeight="1">
      <c r="A260" s="233"/>
      <c r="B260" s="227"/>
      <c r="C260" s="227"/>
      <c r="D260" s="226"/>
      <c r="E260" s="235"/>
    </row>
    <row r="261" ht="22.5" customHeight="1">
      <c r="A261" s="233"/>
      <c r="B261" s="227"/>
      <c r="C261" s="227"/>
      <c r="D261" s="226"/>
      <c r="E261" s="235"/>
    </row>
    <row r="262" ht="22.5" customHeight="1">
      <c r="A262" s="233"/>
      <c r="B262" s="227"/>
      <c r="C262" s="227"/>
      <c r="D262" s="226"/>
      <c r="E262" s="235"/>
    </row>
    <row r="263" ht="22.5" customHeight="1">
      <c r="A263" s="233"/>
      <c r="B263" s="227"/>
      <c r="C263" s="227"/>
      <c r="D263" s="226"/>
      <c r="E263" s="235"/>
    </row>
    <row r="264" ht="22.5" customHeight="1">
      <c r="A264" s="233"/>
      <c r="B264" s="227"/>
      <c r="C264" s="227"/>
      <c r="D264" s="226"/>
      <c r="E264" s="235"/>
    </row>
    <row r="265" ht="22.5" customHeight="1">
      <c r="A265" s="233"/>
      <c r="B265" s="227"/>
      <c r="C265" s="227"/>
      <c r="D265" s="226"/>
      <c r="E265" s="235"/>
    </row>
    <row r="266" ht="22.5" customHeight="1">
      <c r="A266" s="233"/>
      <c r="B266" s="227"/>
      <c r="C266" s="227"/>
      <c r="D266" s="226"/>
      <c r="E266" s="235"/>
    </row>
    <row r="267" ht="22.5" customHeight="1">
      <c r="A267" s="233"/>
      <c r="B267" s="227"/>
      <c r="C267" s="227"/>
      <c r="D267" s="226"/>
      <c r="E267" s="235"/>
    </row>
    <row r="268" ht="22.5" customHeight="1">
      <c r="A268" s="233"/>
      <c r="B268" s="227"/>
      <c r="C268" s="227"/>
      <c r="D268" s="226"/>
      <c r="E268" s="235"/>
    </row>
    <row r="269" ht="22.5" customHeight="1">
      <c r="A269" s="233"/>
      <c r="B269" s="227"/>
      <c r="C269" s="227"/>
      <c r="D269" s="226"/>
      <c r="E269" s="235"/>
    </row>
    <row r="270" ht="22.5" customHeight="1">
      <c r="A270" s="233"/>
      <c r="B270" s="227"/>
      <c r="C270" s="227"/>
      <c r="D270" s="226"/>
      <c r="E270" s="235"/>
    </row>
    <row r="271" ht="22.5" customHeight="1">
      <c r="A271" s="233"/>
      <c r="B271" s="227"/>
      <c r="C271" s="227"/>
      <c r="D271" s="226"/>
      <c r="E271" s="235"/>
    </row>
    <row r="272" ht="22.5" customHeight="1">
      <c r="A272" s="233"/>
      <c r="B272" s="227"/>
      <c r="C272" s="227"/>
      <c r="D272" s="226"/>
      <c r="E272" s="235"/>
    </row>
    <row r="273" ht="22.5" customHeight="1">
      <c r="A273" s="233"/>
      <c r="B273" s="227"/>
      <c r="C273" s="227"/>
      <c r="D273" s="226"/>
      <c r="E273" s="235"/>
    </row>
    <row r="274" ht="22.5" customHeight="1">
      <c r="A274" s="233"/>
      <c r="B274" s="227"/>
      <c r="C274" s="227"/>
      <c r="D274" s="226"/>
      <c r="E274" s="235"/>
    </row>
    <row r="275" ht="22.5" customHeight="1">
      <c r="A275" s="233"/>
      <c r="B275" s="227"/>
      <c r="C275" s="227"/>
      <c r="D275" s="226"/>
      <c r="E275" s="235"/>
    </row>
    <row r="276" ht="22.5" customHeight="1">
      <c r="A276" s="233"/>
      <c r="B276" s="227"/>
      <c r="C276" s="227"/>
      <c r="D276" s="226"/>
      <c r="E276" s="235"/>
    </row>
    <row r="277" ht="22.5" customHeight="1">
      <c r="A277" s="233"/>
      <c r="B277" s="227"/>
      <c r="C277" s="227"/>
      <c r="D277" s="226"/>
      <c r="E277" s="235"/>
    </row>
    <row r="278" ht="22.5" customHeight="1">
      <c r="A278" s="233"/>
      <c r="B278" s="227"/>
      <c r="C278" s="227"/>
      <c r="D278" s="226"/>
      <c r="E278" s="235"/>
    </row>
    <row r="279" ht="22.5" customHeight="1">
      <c r="A279" s="233"/>
      <c r="B279" s="227"/>
      <c r="C279" s="227"/>
      <c r="D279" s="226"/>
      <c r="E279" s="235"/>
    </row>
    <row r="280" ht="22.5" customHeight="1">
      <c r="A280" s="233"/>
      <c r="B280" s="227"/>
      <c r="C280" s="227"/>
      <c r="D280" s="226"/>
      <c r="E280" s="235"/>
    </row>
    <row r="281" ht="22.5" customHeight="1">
      <c r="A281" s="233"/>
      <c r="B281" s="227"/>
      <c r="C281" s="227"/>
      <c r="D281" s="226"/>
      <c r="E281" s="235"/>
    </row>
    <row r="282" ht="22.5" customHeight="1">
      <c r="A282" s="233"/>
      <c r="B282" s="227"/>
      <c r="C282" s="227"/>
      <c r="D282" s="226"/>
      <c r="E282" s="235"/>
    </row>
    <row r="283" ht="22.5" customHeight="1">
      <c r="A283" s="233"/>
      <c r="B283" s="227"/>
      <c r="C283" s="227"/>
      <c r="D283" s="226"/>
      <c r="E283" s="235"/>
    </row>
    <row r="284" ht="22.5" customHeight="1">
      <c r="A284" s="233"/>
      <c r="B284" s="227"/>
      <c r="C284" s="227"/>
      <c r="D284" s="226"/>
      <c r="E284" s="235"/>
    </row>
    <row r="285" ht="22.5" customHeight="1">
      <c r="A285" s="233"/>
      <c r="B285" s="227"/>
      <c r="C285" s="227"/>
      <c r="D285" s="226"/>
      <c r="E285" s="235"/>
    </row>
    <row r="286" ht="22.5" customHeight="1">
      <c r="A286" s="233"/>
      <c r="B286" s="227"/>
      <c r="C286" s="227"/>
      <c r="D286" s="226"/>
      <c r="E286" s="235"/>
    </row>
    <row r="287" ht="22.5" customHeight="1">
      <c r="A287" s="233"/>
      <c r="B287" s="227"/>
      <c r="C287" s="227"/>
      <c r="D287" s="226"/>
      <c r="E287" s="235"/>
    </row>
    <row r="288" ht="22.5" customHeight="1">
      <c r="A288" s="233"/>
      <c r="B288" s="227"/>
      <c r="C288" s="227"/>
      <c r="D288" s="226"/>
      <c r="E288" s="235"/>
    </row>
    <row r="289" ht="22.5" customHeight="1">
      <c r="A289" s="233"/>
      <c r="B289" s="227"/>
      <c r="C289" s="227"/>
      <c r="D289" s="226"/>
      <c r="E289" s="235"/>
    </row>
    <row r="290" ht="22.5" customHeight="1">
      <c r="A290" s="233"/>
      <c r="B290" s="227"/>
      <c r="C290" s="227"/>
      <c r="D290" s="226"/>
      <c r="E290" s="235"/>
    </row>
    <row r="291" ht="22.5" customHeight="1">
      <c r="A291" s="233"/>
      <c r="B291" s="227"/>
      <c r="C291" s="227"/>
      <c r="D291" s="226"/>
      <c r="E291" s="235"/>
    </row>
    <row r="292" ht="22.5" customHeight="1">
      <c r="A292" s="233"/>
      <c r="B292" s="227"/>
      <c r="C292" s="227"/>
      <c r="D292" s="226"/>
      <c r="E292" s="235"/>
    </row>
    <row r="293" ht="22.5" customHeight="1">
      <c r="A293" s="233"/>
      <c r="B293" s="227"/>
      <c r="C293" s="227"/>
      <c r="D293" s="226"/>
      <c r="E293" s="235"/>
    </row>
    <row r="294" ht="22.5" customHeight="1">
      <c r="A294" s="233"/>
      <c r="B294" s="227"/>
      <c r="C294" s="227"/>
      <c r="D294" s="226"/>
      <c r="E294" s="235"/>
    </row>
    <row r="295" ht="22.5" customHeight="1">
      <c r="A295" s="233"/>
      <c r="B295" s="227"/>
      <c r="C295" s="227"/>
      <c r="D295" s="226"/>
      <c r="E295" s="235"/>
    </row>
    <row r="296" ht="22.5" customHeight="1">
      <c r="A296" s="233"/>
      <c r="B296" s="227"/>
      <c r="C296" s="227"/>
      <c r="D296" s="226"/>
      <c r="E296" s="235"/>
    </row>
    <row r="297" ht="22.5" customHeight="1">
      <c r="A297" s="233"/>
      <c r="B297" s="227"/>
      <c r="C297" s="227"/>
      <c r="D297" s="226"/>
      <c r="E297" s="235"/>
    </row>
    <row r="298" ht="22.5" customHeight="1">
      <c r="A298" s="233"/>
      <c r="B298" s="227"/>
      <c r="C298" s="227"/>
      <c r="D298" s="226"/>
      <c r="E298" s="235"/>
    </row>
    <row r="299" ht="22.5" customHeight="1">
      <c r="A299" s="233"/>
      <c r="B299" s="227"/>
      <c r="C299" s="227"/>
      <c r="D299" s="226"/>
      <c r="E299" s="235"/>
    </row>
    <row r="300" ht="22.5" customHeight="1">
      <c r="A300" s="233"/>
      <c r="B300" s="227"/>
      <c r="C300" s="227"/>
      <c r="D300" s="226"/>
      <c r="E300" s="235"/>
    </row>
    <row r="301" ht="22.5" customHeight="1">
      <c r="A301" s="233"/>
      <c r="B301" s="227"/>
      <c r="C301" s="227"/>
      <c r="D301" s="226"/>
      <c r="E301" s="235"/>
    </row>
    <row r="302" ht="22.5" customHeight="1">
      <c r="A302" s="233"/>
      <c r="B302" s="227"/>
      <c r="C302" s="227"/>
      <c r="D302" s="226"/>
      <c r="E302" s="235"/>
    </row>
    <row r="303" ht="22.5" customHeight="1">
      <c r="A303" s="233"/>
      <c r="B303" s="227"/>
      <c r="C303" s="227"/>
      <c r="D303" s="226"/>
      <c r="E303" s="235"/>
    </row>
    <row r="304" ht="22.5" customHeight="1">
      <c r="A304" s="233"/>
      <c r="B304" s="227"/>
      <c r="C304" s="227"/>
      <c r="D304" s="226"/>
      <c r="E304" s="235"/>
    </row>
    <row r="305" ht="22.5" customHeight="1">
      <c r="A305" s="233"/>
      <c r="B305" s="227"/>
      <c r="C305" s="227"/>
      <c r="D305" s="226"/>
      <c r="E305" s="235"/>
    </row>
    <row r="306" ht="22.5" customHeight="1">
      <c r="A306" s="233"/>
      <c r="B306" s="227"/>
      <c r="C306" s="227"/>
      <c r="D306" s="226"/>
      <c r="E306" s="235"/>
    </row>
    <row r="307" ht="22.5" customHeight="1">
      <c r="A307" s="233"/>
      <c r="B307" s="227"/>
      <c r="C307" s="227"/>
      <c r="D307" s="226"/>
      <c r="E307" s="235"/>
    </row>
    <row r="308" ht="22.5" customHeight="1">
      <c r="A308" s="233"/>
      <c r="B308" s="227"/>
      <c r="C308" s="227"/>
      <c r="D308" s="226"/>
      <c r="E308" s="235"/>
    </row>
    <row r="309" ht="22.5" customHeight="1">
      <c r="A309" s="233"/>
      <c r="B309" s="227"/>
      <c r="C309" s="227"/>
      <c r="D309" s="226"/>
      <c r="E309" s="235"/>
    </row>
    <row r="310" ht="22.5" customHeight="1">
      <c r="A310" s="233"/>
      <c r="B310" s="227"/>
      <c r="C310" s="227"/>
      <c r="D310" s="226"/>
      <c r="E310" s="235"/>
    </row>
    <row r="311" ht="22.5" customHeight="1">
      <c r="A311" s="233"/>
      <c r="B311" s="227"/>
      <c r="C311" s="227"/>
      <c r="D311" s="226"/>
      <c r="E311" s="235"/>
    </row>
    <row r="312" ht="22.5" customHeight="1">
      <c r="A312" s="233"/>
      <c r="B312" s="227"/>
      <c r="C312" s="227"/>
      <c r="D312" s="226"/>
      <c r="E312" s="235"/>
    </row>
    <row r="313" ht="22.5" customHeight="1">
      <c r="A313" s="233"/>
      <c r="B313" s="227"/>
      <c r="C313" s="227"/>
      <c r="D313" s="226"/>
      <c r="E313" s="235"/>
    </row>
    <row r="314" ht="22.5" customHeight="1">
      <c r="A314" s="233"/>
      <c r="B314" s="227"/>
      <c r="C314" s="227"/>
      <c r="D314" s="226"/>
      <c r="E314" s="235"/>
    </row>
    <row r="315" ht="22.5" customHeight="1">
      <c r="A315" s="233"/>
      <c r="B315" s="227"/>
      <c r="C315" s="227"/>
      <c r="D315" s="226"/>
      <c r="E315" s="235"/>
    </row>
    <row r="316" ht="22.5" customHeight="1">
      <c r="A316" s="233"/>
      <c r="B316" s="227"/>
      <c r="C316" s="227"/>
      <c r="D316" s="226"/>
      <c r="E316" s="235"/>
    </row>
    <row r="317" ht="22.5" customHeight="1">
      <c r="A317" s="233"/>
      <c r="B317" s="227"/>
      <c r="C317" s="227"/>
      <c r="D317" s="226"/>
      <c r="E317" s="235"/>
    </row>
    <row r="318" ht="22.5" customHeight="1">
      <c r="A318" s="233"/>
      <c r="B318" s="227"/>
      <c r="C318" s="227"/>
      <c r="D318" s="226"/>
      <c r="E318" s="235"/>
    </row>
    <row r="319" ht="22.5" customHeight="1">
      <c r="A319" s="233"/>
      <c r="B319" s="227"/>
      <c r="C319" s="227"/>
      <c r="D319" s="226"/>
      <c r="E319" s="235"/>
    </row>
    <row r="320" ht="22.5" customHeight="1">
      <c r="A320" s="233"/>
      <c r="B320" s="227"/>
      <c r="C320" s="227"/>
      <c r="D320" s="226"/>
      <c r="E320" s="235"/>
    </row>
    <row r="321" ht="22.5" customHeight="1">
      <c r="A321" s="233"/>
      <c r="B321" s="227"/>
      <c r="C321" s="227"/>
      <c r="D321" s="226"/>
      <c r="E321" s="235"/>
    </row>
    <row r="322" ht="22.5" customHeight="1">
      <c r="A322" s="233"/>
      <c r="B322" s="227"/>
      <c r="C322" s="227"/>
      <c r="D322" s="226"/>
      <c r="E322" s="235"/>
    </row>
    <row r="323" ht="22.5" customHeight="1">
      <c r="A323" s="233"/>
      <c r="B323" s="227"/>
      <c r="C323" s="227"/>
      <c r="D323" s="226"/>
      <c r="E323" s="235"/>
    </row>
    <row r="324" ht="22.5" customHeight="1">
      <c r="A324" s="233"/>
      <c r="B324" s="227"/>
      <c r="C324" s="227"/>
      <c r="D324" s="226"/>
      <c r="E324" s="235"/>
    </row>
    <row r="325" ht="22.5" customHeight="1">
      <c r="A325" s="233"/>
      <c r="B325" s="227"/>
      <c r="C325" s="227"/>
      <c r="D325" s="226"/>
      <c r="E325" s="235"/>
    </row>
    <row r="326" ht="22.5" customHeight="1">
      <c r="A326" s="233"/>
      <c r="B326" s="227"/>
      <c r="C326" s="227"/>
      <c r="D326" s="226"/>
      <c r="E326" s="235"/>
    </row>
    <row r="327" ht="22.5" customHeight="1">
      <c r="A327" s="233"/>
      <c r="B327" s="227"/>
      <c r="C327" s="227"/>
      <c r="D327" s="226"/>
      <c r="E327" s="235"/>
    </row>
    <row r="328" ht="22.5" customHeight="1">
      <c r="A328" s="233"/>
      <c r="B328" s="227"/>
      <c r="C328" s="227"/>
      <c r="D328" s="226"/>
      <c r="E328" s="235"/>
    </row>
    <row r="329" ht="22.5" customHeight="1">
      <c r="A329" s="233"/>
      <c r="B329" s="227"/>
      <c r="C329" s="227"/>
      <c r="D329" s="226"/>
      <c r="E329" s="235"/>
    </row>
    <row r="330" ht="22.5" customHeight="1">
      <c r="A330" s="233"/>
      <c r="B330" s="227"/>
      <c r="C330" s="227"/>
      <c r="D330" s="226"/>
      <c r="E330" s="235"/>
    </row>
    <row r="331" ht="22.5" customHeight="1">
      <c r="A331" s="233"/>
      <c r="B331" s="227"/>
      <c r="C331" s="227"/>
      <c r="D331" s="226"/>
      <c r="E331" s="235"/>
    </row>
    <row r="332" ht="22.5" customHeight="1">
      <c r="A332" s="233"/>
      <c r="B332" s="227"/>
      <c r="C332" s="227"/>
      <c r="D332" s="226"/>
      <c r="E332" s="235"/>
    </row>
    <row r="333" ht="22.5" customHeight="1">
      <c r="A333" s="233"/>
      <c r="B333" s="227"/>
      <c r="C333" s="227"/>
      <c r="D333" s="226"/>
      <c r="E333" s="235"/>
    </row>
    <row r="334" ht="22.5" customHeight="1">
      <c r="A334" s="233"/>
      <c r="B334" s="227"/>
      <c r="C334" s="227"/>
      <c r="D334" s="226"/>
      <c r="E334" s="235"/>
    </row>
    <row r="335" ht="22.5" customHeight="1">
      <c r="A335" s="233"/>
      <c r="B335" s="227"/>
      <c r="C335" s="227"/>
      <c r="D335" s="226"/>
      <c r="E335" s="235"/>
    </row>
    <row r="336" ht="22.5" customHeight="1">
      <c r="A336" s="233"/>
      <c r="B336" s="227"/>
      <c r="C336" s="227"/>
      <c r="D336" s="226"/>
      <c r="E336" s="235"/>
    </row>
    <row r="337" ht="22.5" customHeight="1">
      <c r="A337" s="233"/>
      <c r="B337" s="227"/>
      <c r="C337" s="227"/>
      <c r="D337" s="226"/>
      <c r="E337" s="235"/>
    </row>
    <row r="338" ht="22.5" customHeight="1">
      <c r="A338" s="233"/>
      <c r="B338" s="227"/>
      <c r="C338" s="227"/>
      <c r="D338" s="226"/>
      <c r="E338" s="235"/>
    </row>
    <row r="339" ht="22.5" customHeight="1">
      <c r="A339" s="233"/>
      <c r="B339" s="227"/>
      <c r="C339" s="227"/>
      <c r="D339" s="226"/>
      <c r="E339" s="235"/>
    </row>
    <row r="340" ht="22.5" customHeight="1">
      <c r="A340" s="233"/>
      <c r="B340" s="227"/>
      <c r="C340" s="227"/>
      <c r="D340" s="226"/>
      <c r="E340" s="235"/>
    </row>
    <row r="341" ht="22.5" customHeight="1">
      <c r="A341" s="233"/>
      <c r="B341" s="227"/>
      <c r="C341" s="227"/>
      <c r="D341" s="226"/>
      <c r="E341" s="235"/>
    </row>
    <row r="342" ht="22.5" customHeight="1">
      <c r="A342" s="233"/>
      <c r="B342" s="227"/>
      <c r="C342" s="227"/>
      <c r="D342" s="226"/>
      <c r="E342" s="235"/>
    </row>
    <row r="343" ht="22.5" customHeight="1">
      <c r="A343" s="233"/>
      <c r="B343" s="227"/>
      <c r="C343" s="227"/>
      <c r="D343" s="226"/>
      <c r="E343" s="235"/>
    </row>
    <row r="344" ht="22.5" customHeight="1">
      <c r="A344" s="233"/>
      <c r="B344" s="227"/>
      <c r="C344" s="227"/>
      <c r="D344" s="226"/>
      <c r="E344" s="235"/>
    </row>
    <row r="345" ht="22.5" customHeight="1">
      <c r="A345" s="233"/>
      <c r="B345" s="227"/>
      <c r="C345" s="227"/>
      <c r="D345" s="226"/>
      <c r="E345" s="235"/>
    </row>
    <row r="346" ht="22.5" customHeight="1">
      <c r="A346" s="233"/>
      <c r="B346" s="227"/>
      <c r="C346" s="227"/>
      <c r="D346" s="226"/>
      <c r="E346" s="235"/>
    </row>
    <row r="347" ht="22.5" customHeight="1">
      <c r="A347" s="233"/>
      <c r="B347" s="227"/>
      <c r="C347" s="227"/>
      <c r="D347" s="226"/>
      <c r="E347" s="235"/>
    </row>
    <row r="348" ht="22.5" customHeight="1">
      <c r="A348" s="233"/>
      <c r="B348" s="227"/>
      <c r="C348" s="227"/>
      <c r="D348" s="226"/>
      <c r="E348" s="235"/>
    </row>
    <row r="349" ht="22.5" customHeight="1">
      <c r="A349" s="233"/>
      <c r="B349" s="227"/>
      <c r="C349" s="227"/>
      <c r="D349" s="226"/>
      <c r="E349" s="235"/>
    </row>
    <row r="350" ht="22.5" customHeight="1">
      <c r="A350" s="233"/>
      <c r="B350" s="227"/>
      <c r="C350" s="227"/>
      <c r="D350" s="226"/>
      <c r="E350" s="235"/>
    </row>
    <row r="351" ht="22.5" customHeight="1">
      <c r="A351" s="233"/>
      <c r="B351" s="227"/>
      <c r="C351" s="227"/>
      <c r="D351" s="226"/>
      <c r="E351" s="235"/>
    </row>
    <row r="352" ht="22.5" customHeight="1">
      <c r="A352" s="233"/>
      <c r="B352" s="227"/>
      <c r="C352" s="227"/>
      <c r="D352" s="226"/>
      <c r="E352" s="235"/>
    </row>
    <row r="353" ht="22.5" customHeight="1">
      <c r="A353" s="233"/>
      <c r="B353" s="227"/>
      <c r="C353" s="227"/>
      <c r="D353" s="226"/>
      <c r="E353" s="235"/>
    </row>
    <row r="354" ht="22.5" customHeight="1">
      <c r="A354" s="233"/>
      <c r="B354" s="227"/>
      <c r="C354" s="227"/>
      <c r="D354" s="226"/>
      <c r="E354" s="235"/>
    </row>
    <row r="355" ht="22.5" customHeight="1">
      <c r="A355" s="233"/>
      <c r="B355" s="227"/>
      <c r="C355" s="227"/>
      <c r="D355" s="226"/>
      <c r="E355" s="235"/>
    </row>
    <row r="356" ht="22.5" customHeight="1">
      <c r="A356" s="233"/>
      <c r="B356" s="227"/>
      <c r="C356" s="227"/>
      <c r="D356" s="226"/>
      <c r="E356" s="235"/>
    </row>
    <row r="357" ht="22.5" customHeight="1">
      <c r="A357" s="233"/>
      <c r="B357" s="227"/>
      <c r="C357" s="227"/>
      <c r="D357" s="226"/>
      <c r="E357" s="235"/>
    </row>
    <row r="358" ht="22.5" customHeight="1">
      <c r="A358" s="233"/>
      <c r="B358" s="227"/>
      <c r="C358" s="227"/>
      <c r="D358" s="226"/>
      <c r="E358" s="235"/>
    </row>
    <row r="359" ht="22.5" customHeight="1">
      <c r="A359" s="233"/>
      <c r="B359" s="227"/>
      <c r="C359" s="227"/>
      <c r="D359" s="226"/>
      <c r="E359" s="235"/>
    </row>
    <row r="360" ht="22.5" customHeight="1">
      <c r="A360" s="233"/>
      <c r="B360" s="227"/>
      <c r="C360" s="227"/>
      <c r="D360" s="226"/>
      <c r="E360" s="235"/>
    </row>
    <row r="361" ht="22.5" customHeight="1">
      <c r="A361" s="233"/>
      <c r="B361" s="227"/>
      <c r="C361" s="227"/>
      <c r="D361" s="226"/>
      <c r="E361" s="235"/>
    </row>
    <row r="362" ht="22.5" customHeight="1">
      <c r="A362" s="233"/>
      <c r="B362" s="227"/>
      <c r="C362" s="227"/>
      <c r="D362" s="226"/>
      <c r="E362" s="235"/>
    </row>
    <row r="363" ht="22.5" customHeight="1">
      <c r="A363" s="233"/>
      <c r="B363" s="227"/>
      <c r="C363" s="227"/>
      <c r="D363" s="226"/>
      <c r="E363" s="235"/>
    </row>
    <row r="364" ht="22.5" customHeight="1">
      <c r="A364" s="233"/>
      <c r="B364" s="227"/>
      <c r="C364" s="227"/>
      <c r="D364" s="226"/>
      <c r="E364" s="235"/>
    </row>
    <row r="365" ht="22.5" customHeight="1">
      <c r="A365" s="233"/>
      <c r="B365" s="227"/>
      <c r="C365" s="227"/>
      <c r="D365" s="226"/>
      <c r="E365" s="235"/>
    </row>
    <row r="366" ht="22.5" customHeight="1">
      <c r="A366" s="233"/>
      <c r="B366" s="227"/>
      <c r="C366" s="227"/>
      <c r="D366" s="226"/>
      <c r="E366" s="235"/>
    </row>
    <row r="367" ht="22.5" customHeight="1">
      <c r="A367" s="233"/>
      <c r="B367" s="227"/>
      <c r="C367" s="227"/>
      <c r="D367" s="226"/>
      <c r="E367" s="235"/>
    </row>
    <row r="368" ht="22.5" customHeight="1">
      <c r="A368" s="233"/>
      <c r="B368" s="227"/>
      <c r="C368" s="227"/>
      <c r="D368" s="226"/>
      <c r="E368" s="235"/>
    </row>
    <row r="369" ht="22.5" customHeight="1">
      <c r="A369" s="233"/>
      <c r="B369" s="227"/>
      <c r="C369" s="227"/>
      <c r="D369" s="226"/>
      <c r="E369" s="235"/>
    </row>
    <row r="370" ht="22.5" customHeight="1">
      <c r="A370" s="233"/>
      <c r="B370" s="227"/>
      <c r="C370" s="227"/>
      <c r="D370" s="226"/>
      <c r="E370" s="235"/>
    </row>
    <row r="371" ht="22.5" customHeight="1">
      <c r="A371" s="233"/>
      <c r="B371" s="227"/>
      <c r="C371" s="227"/>
      <c r="D371" s="226"/>
      <c r="E371" s="235"/>
    </row>
    <row r="372" ht="22.5" customHeight="1">
      <c r="A372" s="233"/>
      <c r="B372" s="227"/>
      <c r="C372" s="227"/>
      <c r="D372" s="226"/>
      <c r="E372" s="235"/>
    </row>
    <row r="373" ht="22.5" customHeight="1">
      <c r="A373" s="233"/>
      <c r="B373" s="227"/>
      <c r="C373" s="227"/>
      <c r="D373" s="226"/>
      <c r="E373" s="235"/>
    </row>
    <row r="374" ht="22.5" customHeight="1">
      <c r="A374" s="233"/>
      <c r="B374" s="227"/>
      <c r="C374" s="227"/>
      <c r="D374" s="226"/>
      <c r="E374" s="235"/>
    </row>
    <row r="375" ht="22.5" customHeight="1">
      <c r="A375" s="233"/>
      <c r="B375" s="227"/>
      <c r="C375" s="227"/>
      <c r="D375" s="226"/>
      <c r="E375" s="235"/>
    </row>
    <row r="376" ht="22.5" customHeight="1">
      <c r="A376" s="233"/>
      <c r="B376" s="227"/>
      <c r="C376" s="227"/>
      <c r="D376" s="226"/>
      <c r="E376" s="235"/>
    </row>
    <row r="377" ht="22.5" customHeight="1">
      <c r="A377" s="233"/>
      <c r="B377" s="227"/>
      <c r="C377" s="227"/>
      <c r="D377" s="226"/>
      <c r="E377" s="235"/>
    </row>
    <row r="378" ht="22.5" customHeight="1">
      <c r="A378" s="233"/>
      <c r="B378" s="227"/>
      <c r="C378" s="227"/>
      <c r="D378" s="226"/>
      <c r="E378" s="235"/>
    </row>
    <row r="379" ht="22.5" customHeight="1">
      <c r="A379" s="233"/>
      <c r="B379" s="227"/>
      <c r="C379" s="227"/>
      <c r="D379" s="226"/>
      <c r="E379" s="235"/>
    </row>
    <row r="380" ht="22.5" customHeight="1">
      <c r="A380" s="233"/>
      <c r="B380" s="227"/>
      <c r="C380" s="227"/>
      <c r="D380" s="226"/>
      <c r="E380" s="235"/>
    </row>
    <row r="381" ht="22.5" customHeight="1">
      <c r="A381" s="233"/>
      <c r="B381" s="227"/>
      <c r="C381" s="227"/>
      <c r="D381" s="226"/>
      <c r="E381" s="235"/>
    </row>
    <row r="382" ht="22.5" customHeight="1">
      <c r="A382" s="233"/>
      <c r="B382" s="227"/>
      <c r="C382" s="227"/>
      <c r="D382" s="226"/>
      <c r="E382" s="235"/>
    </row>
    <row r="383" ht="22.5" customHeight="1">
      <c r="A383" s="233"/>
      <c r="B383" s="227"/>
      <c r="C383" s="227"/>
      <c r="D383" s="226"/>
      <c r="E383" s="235"/>
    </row>
    <row r="384" ht="22.5" customHeight="1">
      <c r="A384" s="233"/>
      <c r="B384" s="227"/>
      <c r="C384" s="227"/>
      <c r="D384" s="226"/>
      <c r="E384" s="235"/>
    </row>
    <row r="385" ht="22.5" customHeight="1">
      <c r="A385" s="233"/>
      <c r="B385" s="227"/>
      <c r="C385" s="227"/>
      <c r="D385" s="226"/>
      <c r="E385" s="235"/>
    </row>
    <row r="386" ht="22.5" customHeight="1">
      <c r="A386" s="233"/>
      <c r="B386" s="227"/>
      <c r="C386" s="227"/>
      <c r="D386" s="226"/>
      <c r="E386" s="235"/>
    </row>
    <row r="387" ht="22.5" customHeight="1">
      <c r="A387" s="233"/>
      <c r="B387" s="227"/>
      <c r="C387" s="227"/>
      <c r="D387" s="226"/>
      <c r="E387" s="235"/>
    </row>
    <row r="388" ht="22.5" customHeight="1">
      <c r="A388" s="233"/>
      <c r="B388" s="227"/>
      <c r="C388" s="227"/>
      <c r="D388" s="226"/>
      <c r="E388" s="235"/>
    </row>
    <row r="389" ht="22.5" customHeight="1">
      <c r="A389" s="233"/>
      <c r="B389" s="227"/>
      <c r="C389" s="227"/>
      <c r="D389" s="226"/>
      <c r="E389" s="235"/>
    </row>
    <row r="390" ht="22.5" customHeight="1">
      <c r="A390" s="233"/>
      <c r="B390" s="227"/>
      <c r="C390" s="227"/>
      <c r="D390" s="226"/>
      <c r="E390" s="235"/>
    </row>
    <row r="391" ht="22.5" customHeight="1">
      <c r="A391" s="233"/>
      <c r="B391" s="227"/>
      <c r="C391" s="227"/>
      <c r="D391" s="226"/>
      <c r="E391" s="235"/>
    </row>
    <row r="392" ht="22.5" customHeight="1">
      <c r="A392" s="233"/>
      <c r="B392" s="227"/>
      <c r="C392" s="227"/>
      <c r="D392" s="226"/>
      <c r="E392" s="235"/>
    </row>
    <row r="393" ht="22.5" customHeight="1">
      <c r="A393" s="233"/>
      <c r="B393" s="227"/>
      <c r="C393" s="227"/>
      <c r="D393" s="226"/>
      <c r="E393" s="235"/>
    </row>
    <row r="394" ht="22.5" customHeight="1">
      <c r="A394" s="233"/>
      <c r="B394" s="227"/>
      <c r="C394" s="227"/>
      <c r="D394" s="226"/>
      <c r="E394" s="235"/>
    </row>
    <row r="395" ht="22.5" customHeight="1">
      <c r="A395" s="233"/>
      <c r="B395" s="227"/>
      <c r="C395" s="227"/>
      <c r="D395" s="226"/>
      <c r="E395" s="235"/>
    </row>
    <row r="396" ht="22.5" customHeight="1">
      <c r="A396" s="233"/>
      <c r="B396" s="227"/>
      <c r="C396" s="227"/>
      <c r="D396" s="226"/>
      <c r="E396" s="235"/>
    </row>
    <row r="397" ht="22.5" customHeight="1">
      <c r="A397" s="233"/>
      <c r="B397" s="227"/>
      <c r="C397" s="227"/>
      <c r="D397" s="226"/>
      <c r="E397" s="235"/>
    </row>
    <row r="398" ht="22.5" customHeight="1">
      <c r="A398" s="233"/>
      <c r="B398" s="227"/>
      <c r="C398" s="227"/>
      <c r="D398" s="226"/>
      <c r="E398" s="235"/>
    </row>
    <row r="399" ht="22.5" customHeight="1">
      <c r="A399" s="233"/>
      <c r="B399" s="227"/>
      <c r="C399" s="227"/>
      <c r="D399" s="226"/>
      <c r="E399" s="235"/>
    </row>
    <row r="400" ht="22.5" customHeight="1">
      <c r="A400" s="233"/>
      <c r="B400" s="227"/>
      <c r="C400" s="227"/>
      <c r="D400" s="226"/>
      <c r="E400" s="235"/>
    </row>
    <row r="401" ht="22.5" customHeight="1">
      <c r="A401" s="233"/>
      <c r="B401" s="227"/>
      <c r="C401" s="227"/>
      <c r="D401" s="226"/>
      <c r="E401" s="235"/>
    </row>
    <row r="402" ht="22.5" customHeight="1">
      <c r="A402" s="233"/>
      <c r="B402" s="227"/>
      <c r="C402" s="227"/>
      <c r="D402" s="226"/>
      <c r="E402" s="235"/>
    </row>
    <row r="403" ht="22.5" customHeight="1">
      <c r="A403" s="233"/>
      <c r="B403" s="227"/>
      <c r="C403" s="227"/>
      <c r="D403" s="226"/>
      <c r="E403" s="235"/>
    </row>
    <row r="404" ht="22.5" customHeight="1">
      <c r="A404" s="233"/>
      <c r="B404" s="227"/>
      <c r="C404" s="227"/>
      <c r="D404" s="226"/>
      <c r="E404" s="235"/>
    </row>
    <row r="405" ht="22.5" customHeight="1">
      <c r="A405" s="233"/>
      <c r="B405" s="227"/>
      <c r="C405" s="227"/>
      <c r="D405" s="226"/>
      <c r="E405" s="235"/>
    </row>
    <row r="406" ht="22.5" customHeight="1">
      <c r="A406" s="233"/>
      <c r="B406" s="227"/>
      <c r="C406" s="227"/>
      <c r="D406" s="226"/>
      <c r="E406" s="235"/>
    </row>
    <row r="407" ht="22.5" customHeight="1">
      <c r="A407" s="233"/>
      <c r="B407" s="227"/>
      <c r="C407" s="227"/>
      <c r="D407" s="226"/>
      <c r="E407" s="235"/>
    </row>
    <row r="408" ht="22.5" customHeight="1">
      <c r="A408" s="233"/>
      <c r="B408" s="227"/>
      <c r="C408" s="227"/>
      <c r="D408" s="226"/>
      <c r="E408" s="235"/>
    </row>
    <row r="409" ht="22.5" customHeight="1">
      <c r="A409" s="233"/>
      <c r="B409" s="227"/>
      <c r="C409" s="227"/>
      <c r="D409" s="226"/>
      <c r="E409" s="235"/>
    </row>
    <row r="410" ht="22.5" customHeight="1">
      <c r="A410" s="233"/>
      <c r="B410" s="227"/>
      <c r="C410" s="227"/>
      <c r="D410" s="226"/>
      <c r="E410" s="235"/>
    </row>
    <row r="411" ht="22.5" customHeight="1">
      <c r="A411" s="233"/>
      <c r="B411" s="227"/>
      <c r="C411" s="227"/>
      <c r="D411" s="226"/>
      <c r="E411" s="235"/>
    </row>
    <row r="412" ht="22.5" customHeight="1">
      <c r="A412" s="233"/>
      <c r="B412" s="227"/>
      <c r="C412" s="227"/>
      <c r="D412" s="226"/>
      <c r="E412" s="235"/>
    </row>
    <row r="413" ht="22.5" customHeight="1">
      <c r="A413" s="233"/>
      <c r="B413" s="227"/>
      <c r="C413" s="227"/>
      <c r="D413" s="226"/>
      <c r="E413" s="235"/>
    </row>
    <row r="414" ht="22.5" customHeight="1">
      <c r="A414" s="233"/>
      <c r="B414" s="227"/>
      <c r="C414" s="227"/>
      <c r="D414" s="226"/>
      <c r="E414" s="235"/>
    </row>
    <row r="415" ht="22.5" customHeight="1">
      <c r="A415" s="233"/>
      <c r="B415" s="227"/>
      <c r="C415" s="227"/>
      <c r="D415" s="226"/>
      <c r="E415" s="235"/>
    </row>
    <row r="416" ht="22.5" customHeight="1">
      <c r="A416" s="233"/>
      <c r="B416" s="227"/>
      <c r="C416" s="227"/>
      <c r="D416" s="226"/>
      <c r="E416" s="235"/>
    </row>
    <row r="417" ht="22.5" customHeight="1">
      <c r="A417" s="233"/>
      <c r="B417" s="227"/>
      <c r="C417" s="227"/>
      <c r="D417" s="226"/>
      <c r="E417" s="235"/>
    </row>
    <row r="418" ht="22.5" customHeight="1">
      <c r="A418" s="233"/>
      <c r="B418" s="227"/>
      <c r="C418" s="227"/>
      <c r="D418" s="226"/>
      <c r="E418" s="235"/>
    </row>
    <row r="419" ht="22.5" customHeight="1">
      <c r="A419" s="233"/>
      <c r="B419" s="227"/>
      <c r="C419" s="227"/>
      <c r="D419" s="226"/>
      <c r="E419" s="235"/>
    </row>
    <row r="420" ht="22.5" customHeight="1">
      <c r="A420" s="233"/>
      <c r="B420" s="227"/>
      <c r="C420" s="227"/>
      <c r="D420" s="226"/>
      <c r="E420" s="235"/>
    </row>
    <row r="421" ht="22.5" customHeight="1">
      <c r="A421" s="233"/>
      <c r="B421" s="227"/>
      <c r="C421" s="227"/>
      <c r="D421" s="226"/>
      <c r="E421" s="235"/>
    </row>
    <row r="422" ht="22.5" customHeight="1">
      <c r="A422" s="233"/>
      <c r="B422" s="227"/>
      <c r="C422" s="227"/>
      <c r="D422" s="226"/>
      <c r="E422" s="235"/>
    </row>
    <row r="423" ht="22.5" customHeight="1">
      <c r="A423" s="233"/>
      <c r="B423" s="227"/>
      <c r="C423" s="227"/>
      <c r="D423" s="226"/>
      <c r="E423" s="235"/>
    </row>
    <row r="424" ht="22.5" customHeight="1">
      <c r="A424" s="233"/>
      <c r="B424" s="227"/>
      <c r="C424" s="227"/>
      <c r="D424" s="226"/>
      <c r="E424" s="235"/>
    </row>
    <row r="425" ht="22.5" customHeight="1">
      <c r="A425" s="233"/>
      <c r="B425" s="227"/>
      <c r="C425" s="227"/>
      <c r="D425" s="226"/>
      <c r="E425" s="235"/>
    </row>
    <row r="426" ht="22.5" customHeight="1">
      <c r="A426" s="233"/>
      <c r="B426" s="227"/>
      <c r="C426" s="227"/>
      <c r="D426" s="226"/>
      <c r="E426" s="235"/>
    </row>
    <row r="427" ht="22.5" customHeight="1">
      <c r="A427" s="233"/>
      <c r="B427" s="227"/>
      <c r="C427" s="227"/>
      <c r="D427" s="226"/>
      <c r="E427" s="235"/>
    </row>
    <row r="428" ht="22.5" customHeight="1">
      <c r="A428" s="233"/>
      <c r="B428" s="227"/>
      <c r="C428" s="227"/>
      <c r="D428" s="226"/>
      <c r="E428" s="235"/>
    </row>
    <row r="429" ht="22.5" customHeight="1">
      <c r="A429" s="233"/>
      <c r="B429" s="227"/>
      <c r="C429" s="227"/>
      <c r="D429" s="226"/>
      <c r="E429" s="235"/>
    </row>
    <row r="430" ht="22.5" customHeight="1">
      <c r="A430" s="233"/>
      <c r="B430" s="227"/>
      <c r="C430" s="227"/>
      <c r="D430" s="226"/>
      <c r="E430" s="235"/>
    </row>
    <row r="431" ht="22.5" customHeight="1">
      <c r="A431" s="233"/>
      <c r="B431" s="227"/>
      <c r="C431" s="227"/>
      <c r="D431" s="226"/>
      <c r="E431" s="235"/>
    </row>
    <row r="432" ht="22.5" customHeight="1">
      <c r="A432" s="233"/>
      <c r="B432" s="227"/>
      <c r="C432" s="227"/>
      <c r="D432" s="226"/>
      <c r="E432" s="235"/>
    </row>
    <row r="433" ht="22.5" customHeight="1">
      <c r="A433" s="233"/>
      <c r="B433" s="227"/>
      <c r="C433" s="227"/>
      <c r="D433" s="226"/>
      <c r="E433" s="235"/>
    </row>
    <row r="434" ht="22.5" customHeight="1">
      <c r="A434" s="233"/>
      <c r="B434" s="227"/>
      <c r="C434" s="227"/>
      <c r="D434" s="226"/>
      <c r="E434" s="235"/>
    </row>
    <row r="435" ht="22.5" customHeight="1">
      <c r="A435" s="233"/>
      <c r="B435" s="227"/>
      <c r="C435" s="227"/>
      <c r="D435" s="226"/>
      <c r="E435" s="235"/>
    </row>
    <row r="436" ht="22.5" customHeight="1">
      <c r="A436" s="233"/>
      <c r="B436" s="227"/>
      <c r="C436" s="227"/>
      <c r="D436" s="226"/>
      <c r="E436" s="235"/>
    </row>
    <row r="437" ht="22.5" customHeight="1">
      <c r="A437" s="233"/>
      <c r="B437" s="227"/>
      <c r="C437" s="227"/>
      <c r="D437" s="226"/>
      <c r="E437" s="235"/>
    </row>
    <row r="438" ht="22.5" customHeight="1">
      <c r="A438" s="233"/>
      <c r="B438" s="227"/>
      <c r="C438" s="227"/>
      <c r="D438" s="226"/>
      <c r="E438" s="235"/>
    </row>
    <row r="439" ht="22.5" customHeight="1">
      <c r="A439" s="233"/>
      <c r="B439" s="227"/>
      <c r="C439" s="227"/>
      <c r="D439" s="226"/>
      <c r="E439" s="235"/>
    </row>
    <row r="440" ht="22.5" customHeight="1">
      <c r="A440" s="233"/>
      <c r="B440" s="227"/>
      <c r="C440" s="227"/>
      <c r="D440" s="226"/>
      <c r="E440" s="235"/>
    </row>
    <row r="441" ht="22.5" customHeight="1">
      <c r="A441" s="233"/>
      <c r="B441" s="227"/>
      <c r="C441" s="227"/>
      <c r="D441" s="226"/>
      <c r="E441" s="235"/>
    </row>
    <row r="442" ht="22.5" customHeight="1">
      <c r="A442" s="233"/>
      <c r="B442" s="227"/>
      <c r="C442" s="227"/>
      <c r="D442" s="226"/>
      <c r="E442" s="235"/>
    </row>
    <row r="443" ht="22.5" customHeight="1">
      <c r="A443" s="233"/>
      <c r="B443" s="227"/>
      <c r="C443" s="227"/>
      <c r="D443" s="226"/>
      <c r="E443" s="235"/>
    </row>
    <row r="444" ht="22.5" customHeight="1">
      <c r="A444" s="233"/>
      <c r="B444" s="227"/>
      <c r="C444" s="227"/>
      <c r="D444" s="226"/>
      <c r="E444" s="235"/>
    </row>
    <row r="445" ht="22.5" customHeight="1">
      <c r="A445" s="233"/>
      <c r="B445" s="227"/>
      <c r="C445" s="227"/>
      <c r="D445" s="226"/>
      <c r="E445" s="235"/>
    </row>
    <row r="446" ht="22.5" customHeight="1">
      <c r="A446" s="233"/>
      <c r="B446" s="227"/>
      <c r="C446" s="227"/>
      <c r="D446" s="226"/>
      <c r="E446" s="235"/>
    </row>
    <row r="447" ht="22.5" customHeight="1">
      <c r="A447" s="233"/>
      <c r="B447" s="227"/>
      <c r="C447" s="227"/>
      <c r="D447" s="226"/>
      <c r="E447" s="235"/>
    </row>
    <row r="448" ht="22.5" customHeight="1">
      <c r="A448" s="233"/>
      <c r="B448" s="227"/>
      <c r="C448" s="227"/>
      <c r="D448" s="226"/>
      <c r="E448" s="235"/>
    </row>
    <row r="449" ht="22.5" customHeight="1">
      <c r="A449" s="233"/>
      <c r="B449" s="227"/>
      <c r="C449" s="227"/>
      <c r="D449" s="226"/>
      <c r="E449" s="235"/>
    </row>
    <row r="450" ht="22.5" customHeight="1">
      <c r="A450" s="233"/>
      <c r="B450" s="227"/>
      <c r="C450" s="227"/>
      <c r="D450" s="226"/>
      <c r="E450" s="235"/>
    </row>
    <row r="451" ht="22.5" customHeight="1">
      <c r="A451" s="233"/>
      <c r="B451" s="227"/>
      <c r="C451" s="227"/>
      <c r="D451" s="226"/>
      <c r="E451" s="235"/>
    </row>
    <row r="452" ht="22.5" customHeight="1">
      <c r="A452" s="233"/>
      <c r="B452" s="227"/>
      <c r="C452" s="227"/>
      <c r="D452" s="226"/>
      <c r="E452" s="235"/>
    </row>
    <row r="453" ht="22.5" customHeight="1">
      <c r="A453" s="233"/>
      <c r="B453" s="227"/>
      <c r="C453" s="227"/>
      <c r="D453" s="226"/>
      <c r="E453" s="235"/>
    </row>
    <row r="454" ht="22.5" customHeight="1">
      <c r="A454" s="233"/>
      <c r="B454" s="227"/>
      <c r="C454" s="227"/>
      <c r="D454" s="226"/>
      <c r="E454" s="235"/>
    </row>
    <row r="455" ht="22.5" customHeight="1">
      <c r="A455" s="233"/>
      <c r="B455" s="227"/>
      <c r="C455" s="227"/>
      <c r="D455" s="226"/>
      <c r="E455" s="235"/>
    </row>
    <row r="456" ht="22.5" customHeight="1">
      <c r="A456" s="233"/>
      <c r="B456" s="227"/>
      <c r="C456" s="227"/>
      <c r="D456" s="226"/>
      <c r="E456" s="235"/>
    </row>
    <row r="457" ht="22.5" customHeight="1">
      <c r="A457" s="233"/>
      <c r="B457" s="227"/>
      <c r="C457" s="227"/>
      <c r="D457" s="226"/>
      <c r="E457" s="235"/>
    </row>
    <row r="458" ht="22.5" customHeight="1">
      <c r="A458" s="233"/>
      <c r="B458" s="227"/>
      <c r="C458" s="227"/>
      <c r="D458" s="226"/>
      <c r="E458" s="235"/>
    </row>
    <row r="459" ht="22.5" customHeight="1">
      <c r="A459" s="233"/>
      <c r="B459" s="227"/>
      <c r="C459" s="227"/>
      <c r="D459" s="226"/>
      <c r="E459" s="235"/>
    </row>
    <row r="460" ht="22.5" customHeight="1">
      <c r="A460" s="233"/>
      <c r="B460" s="227"/>
      <c r="C460" s="227"/>
      <c r="D460" s="226"/>
      <c r="E460" s="235"/>
    </row>
    <row r="461" ht="22.5" customHeight="1">
      <c r="A461" s="233"/>
      <c r="B461" s="227"/>
      <c r="C461" s="227"/>
      <c r="D461" s="226"/>
      <c r="E461" s="235"/>
    </row>
    <row r="462" ht="22.5" customHeight="1">
      <c r="A462" s="233"/>
      <c r="B462" s="227"/>
      <c r="C462" s="227"/>
      <c r="D462" s="226"/>
      <c r="E462" s="235"/>
    </row>
    <row r="463" ht="22.5" customHeight="1">
      <c r="A463" s="233"/>
      <c r="B463" s="227"/>
      <c r="C463" s="227"/>
      <c r="D463" s="226"/>
      <c r="E463" s="235"/>
    </row>
    <row r="464" ht="22.5" customHeight="1">
      <c r="A464" s="233"/>
      <c r="B464" s="227"/>
      <c r="C464" s="227"/>
      <c r="D464" s="226"/>
      <c r="E464" s="235"/>
    </row>
    <row r="465" ht="22.5" customHeight="1">
      <c r="A465" s="233"/>
      <c r="B465" s="227"/>
      <c r="C465" s="227"/>
      <c r="D465" s="226"/>
      <c r="E465" s="235"/>
    </row>
    <row r="466" ht="22.5" customHeight="1">
      <c r="A466" s="233"/>
      <c r="B466" s="227"/>
      <c r="C466" s="227"/>
      <c r="D466" s="226"/>
      <c r="E466" s="235"/>
    </row>
    <row r="467" ht="22.5" customHeight="1">
      <c r="A467" s="233"/>
      <c r="B467" s="227"/>
      <c r="C467" s="227"/>
      <c r="D467" s="226"/>
      <c r="E467" s="235"/>
    </row>
    <row r="468" ht="22.5" customHeight="1">
      <c r="A468" s="233"/>
      <c r="B468" s="227"/>
      <c r="C468" s="227"/>
      <c r="D468" s="226"/>
      <c r="E468" s="235"/>
    </row>
    <row r="469" ht="22.5" customHeight="1">
      <c r="A469" s="233"/>
      <c r="B469" s="227"/>
      <c r="C469" s="227"/>
      <c r="D469" s="226"/>
      <c r="E469" s="235"/>
    </row>
    <row r="470" ht="22.5" customHeight="1">
      <c r="A470" s="233"/>
      <c r="B470" s="227"/>
      <c r="C470" s="227"/>
      <c r="D470" s="226"/>
      <c r="E470" s="235"/>
    </row>
    <row r="471" ht="22.5" customHeight="1">
      <c r="A471" s="233"/>
      <c r="B471" s="227"/>
      <c r="C471" s="227"/>
      <c r="D471" s="226"/>
      <c r="E471" s="235"/>
    </row>
    <row r="472" ht="22.5" customHeight="1">
      <c r="A472" s="233"/>
      <c r="B472" s="227"/>
      <c r="C472" s="227"/>
      <c r="D472" s="226"/>
      <c r="E472" s="235"/>
    </row>
    <row r="473" ht="22.5" customHeight="1">
      <c r="A473" s="233"/>
      <c r="B473" s="227"/>
      <c r="C473" s="227"/>
      <c r="D473" s="226"/>
      <c r="E473" s="235"/>
    </row>
    <row r="474" ht="22.5" customHeight="1">
      <c r="A474" s="233"/>
      <c r="B474" s="227"/>
      <c r="C474" s="227"/>
      <c r="D474" s="226"/>
      <c r="E474" s="235"/>
    </row>
    <row r="475" ht="22.5" customHeight="1">
      <c r="A475" s="233"/>
      <c r="B475" s="227"/>
      <c r="C475" s="227"/>
      <c r="D475" s="226"/>
      <c r="E475" s="235"/>
    </row>
    <row r="476" ht="22.5" customHeight="1">
      <c r="A476" s="233"/>
      <c r="B476" s="227"/>
      <c r="C476" s="227"/>
      <c r="D476" s="226"/>
      <c r="E476" s="235"/>
    </row>
    <row r="477" ht="22.5" customHeight="1">
      <c r="A477" s="233"/>
      <c r="B477" s="227"/>
      <c r="C477" s="227"/>
      <c r="D477" s="226"/>
      <c r="E477" s="235"/>
    </row>
    <row r="478" ht="22.5" customHeight="1">
      <c r="A478" s="233"/>
      <c r="B478" s="227"/>
      <c r="C478" s="227"/>
      <c r="D478" s="226"/>
      <c r="E478" s="235"/>
    </row>
    <row r="479" ht="22.5" customHeight="1">
      <c r="A479" s="233"/>
      <c r="B479" s="227"/>
      <c r="C479" s="227"/>
      <c r="D479" s="226"/>
      <c r="E479" s="235"/>
    </row>
    <row r="480" ht="22.5" customHeight="1">
      <c r="A480" s="233"/>
      <c r="B480" s="227"/>
      <c r="C480" s="227"/>
      <c r="D480" s="226"/>
      <c r="E480" s="235"/>
    </row>
    <row r="481" ht="22.5" customHeight="1">
      <c r="A481" s="233"/>
      <c r="B481" s="227"/>
      <c r="C481" s="227"/>
      <c r="D481" s="226"/>
      <c r="E481" s="235"/>
    </row>
    <row r="482" ht="22.5" customHeight="1">
      <c r="A482" s="233"/>
      <c r="B482" s="227"/>
      <c r="C482" s="227"/>
      <c r="D482" s="226"/>
      <c r="E482" s="235"/>
    </row>
    <row r="483" ht="22.5" customHeight="1">
      <c r="A483" s="233"/>
      <c r="B483" s="227"/>
      <c r="C483" s="227"/>
      <c r="D483" s="226"/>
      <c r="E483" s="235"/>
    </row>
    <row r="484" ht="22.5" customHeight="1">
      <c r="A484" s="233"/>
      <c r="B484" s="227"/>
      <c r="C484" s="227"/>
      <c r="D484" s="226"/>
      <c r="E484" s="235"/>
    </row>
    <row r="485" ht="22.5" customHeight="1">
      <c r="A485" s="233"/>
      <c r="B485" s="227"/>
      <c r="C485" s="227"/>
      <c r="D485" s="226"/>
      <c r="E485" s="235"/>
    </row>
    <row r="486" ht="22.5" customHeight="1">
      <c r="A486" s="233"/>
      <c r="B486" s="227"/>
      <c r="C486" s="227"/>
      <c r="D486" s="226"/>
      <c r="E486" s="235"/>
    </row>
    <row r="487" ht="22.5" customHeight="1">
      <c r="A487" s="233"/>
      <c r="B487" s="227"/>
      <c r="C487" s="227"/>
      <c r="D487" s="226"/>
      <c r="E487" s="235"/>
    </row>
    <row r="488" ht="22.5" customHeight="1">
      <c r="A488" s="233"/>
      <c r="B488" s="227"/>
      <c r="C488" s="227"/>
      <c r="D488" s="226"/>
      <c r="E488" s="235"/>
    </row>
    <row r="489" ht="22.5" customHeight="1">
      <c r="A489" s="233"/>
      <c r="B489" s="227"/>
      <c r="C489" s="227"/>
      <c r="D489" s="226"/>
      <c r="E489" s="235"/>
    </row>
    <row r="490" ht="22.5" customHeight="1">
      <c r="A490" s="233"/>
      <c r="B490" s="227"/>
      <c r="C490" s="227"/>
      <c r="D490" s="226"/>
      <c r="E490" s="235"/>
    </row>
    <row r="491" ht="22.5" customHeight="1">
      <c r="A491" s="233"/>
      <c r="B491" s="227"/>
      <c r="C491" s="227"/>
      <c r="D491" s="226"/>
      <c r="E491" s="235"/>
    </row>
    <row r="492" ht="22.5" customHeight="1">
      <c r="A492" s="233"/>
      <c r="B492" s="227"/>
      <c r="C492" s="227"/>
      <c r="D492" s="226"/>
      <c r="E492" s="235"/>
    </row>
    <row r="493" ht="22.5" customHeight="1">
      <c r="A493" s="233"/>
      <c r="B493" s="227"/>
      <c r="C493" s="227"/>
      <c r="D493" s="226"/>
      <c r="E493" s="235"/>
    </row>
    <row r="494" ht="22.5" customHeight="1">
      <c r="A494" s="233"/>
      <c r="B494" s="227"/>
      <c r="C494" s="227"/>
      <c r="D494" s="226"/>
      <c r="E494" s="235"/>
    </row>
    <row r="495" ht="22.5" customHeight="1">
      <c r="A495" s="233"/>
      <c r="B495" s="227"/>
      <c r="C495" s="227"/>
      <c r="D495" s="226"/>
      <c r="E495" s="235"/>
    </row>
    <row r="496" ht="22.5" customHeight="1">
      <c r="A496" s="233"/>
      <c r="B496" s="227"/>
      <c r="C496" s="227"/>
      <c r="D496" s="226"/>
      <c r="E496" s="235"/>
    </row>
    <row r="497" ht="22.5" customHeight="1">
      <c r="A497" s="233"/>
      <c r="B497" s="227"/>
      <c r="C497" s="227"/>
      <c r="D497" s="226"/>
      <c r="E497" s="235"/>
    </row>
    <row r="498" ht="22.5" customHeight="1">
      <c r="A498" s="233"/>
      <c r="B498" s="227"/>
      <c r="C498" s="227"/>
      <c r="D498" s="226"/>
      <c r="E498" s="235"/>
    </row>
    <row r="499" ht="22.5" customHeight="1">
      <c r="A499" s="233"/>
      <c r="B499" s="227"/>
      <c r="C499" s="227"/>
      <c r="D499" s="226"/>
      <c r="E499" s="235"/>
    </row>
    <row r="500" ht="22.5" customHeight="1">
      <c r="A500" s="233"/>
      <c r="B500" s="227"/>
      <c r="C500" s="227"/>
      <c r="D500" s="226"/>
      <c r="E500" s="235"/>
    </row>
    <row r="501" ht="22.5" customHeight="1">
      <c r="A501" s="233"/>
      <c r="B501" s="227"/>
      <c r="C501" s="227"/>
      <c r="D501" s="226"/>
      <c r="E501" s="235"/>
    </row>
    <row r="502" ht="22.5" customHeight="1">
      <c r="A502" s="233"/>
      <c r="B502" s="227"/>
      <c r="C502" s="227"/>
      <c r="D502" s="226"/>
      <c r="E502" s="235"/>
    </row>
    <row r="503" ht="22.5" customHeight="1">
      <c r="A503" s="233"/>
      <c r="B503" s="227"/>
      <c r="C503" s="227"/>
      <c r="D503" s="226"/>
      <c r="E503" s="235"/>
    </row>
    <row r="504" ht="22.5" customHeight="1">
      <c r="A504" s="233"/>
      <c r="B504" s="227"/>
      <c r="C504" s="227"/>
      <c r="D504" s="226"/>
      <c r="E504" s="235"/>
    </row>
    <row r="505" ht="22.5" customHeight="1">
      <c r="A505" s="233"/>
      <c r="B505" s="227"/>
      <c r="C505" s="227"/>
      <c r="D505" s="226"/>
      <c r="E505" s="235"/>
    </row>
    <row r="506" ht="22.5" customHeight="1">
      <c r="A506" s="233"/>
      <c r="B506" s="227"/>
      <c r="C506" s="227"/>
      <c r="D506" s="226"/>
      <c r="E506" s="235"/>
    </row>
    <row r="507" ht="22.5" customHeight="1">
      <c r="A507" s="233"/>
      <c r="B507" s="227"/>
      <c r="C507" s="227"/>
      <c r="D507" s="226"/>
      <c r="E507" s="235"/>
    </row>
    <row r="508" ht="22.5" customHeight="1">
      <c r="A508" s="233"/>
      <c r="B508" s="227"/>
      <c r="C508" s="227"/>
      <c r="D508" s="226"/>
      <c r="E508" s="235"/>
    </row>
    <row r="509" ht="22.5" customHeight="1">
      <c r="A509" s="233"/>
      <c r="B509" s="227"/>
      <c r="C509" s="227"/>
      <c r="D509" s="226"/>
      <c r="E509" s="235"/>
    </row>
    <row r="510" ht="22.5" customHeight="1">
      <c r="A510" s="233"/>
      <c r="B510" s="227"/>
      <c r="C510" s="227"/>
      <c r="D510" s="226"/>
      <c r="E510" s="235"/>
    </row>
    <row r="511" ht="22.5" customHeight="1">
      <c r="A511" s="233"/>
      <c r="B511" s="227"/>
      <c r="C511" s="227"/>
      <c r="D511" s="226"/>
      <c r="E511" s="235"/>
    </row>
    <row r="512" ht="22.5" customHeight="1">
      <c r="A512" s="233"/>
      <c r="B512" s="227"/>
      <c r="C512" s="227"/>
      <c r="D512" s="226"/>
      <c r="E512" s="235"/>
    </row>
    <row r="513" ht="22.5" customHeight="1">
      <c r="A513" s="233"/>
      <c r="B513" s="227"/>
      <c r="C513" s="227"/>
      <c r="D513" s="226"/>
      <c r="E513" s="235"/>
    </row>
    <row r="514" ht="22.5" customHeight="1">
      <c r="A514" s="233"/>
      <c r="B514" s="227"/>
      <c r="C514" s="227"/>
      <c r="D514" s="226"/>
      <c r="E514" s="235"/>
    </row>
    <row r="515" ht="22.5" customHeight="1">
      <c r="A515" s="233"/>
      <c r="B515" s="227"/>
      <c r="C515" s="227"/>
      <c r="D515" s="226"/>
      <c r="E515" s="235"/>
    </row>
    <row r="516" ht="22.5" customHeight="1">
      <c r="A516" s="233"/>
      <c r="B516" s="227"/>
      <c r="C516" s="227"/>
      <c r="D516" s="226"/>
      <c r="E516" s="235"/>
    </row>
    <row r="517" ht="22.5" customHeight="1">
      <c r="A517" s="233"/>
      <c r="B517" s="227"/>
      <c r="C517" s="227"/>
      <c r="D517" s="226"/>
      <c r="E517" s="235"/>
    </row>
    <row r="518" ht="22.5" customHeight="1">
      <c r="A518" s="233"/>
      <c r="B518" s="227"/>
      <c r="C518" s="227"/>
      <c r="D518" s="226"/>
      <c r="E518" s="235"/>
    </row>
    <row r="519" ht="22.5" customHeight="1">
      <c r="A519" s="233"/>
      <c r="B519" s="227"/>
      <c r="C519" s="227"/>
      <c r="D519" s="226"/>
      <c r="E519" s="235"/>
    </row>
    <row r="520" ht="22.5" customHeight="1">
      <c r="A520" s="233"/>
      <c r="B520" s="227"/>
      <c r="C520" s="227"/>
      <c r="D520" s="226"/>
      <c r="E520" s="235"/>
    </row>
    <row r="521" ht="22.5" customHeight="1">
      <c r="A521" s="233"/>
      <c r="B521" s="227"/>
      <c r="C521" s="227"/>
      <c r="D521" s="226"/>
      <c r="E521" s="235"/>
    </row>
    <row r="522" ht="22.5" customHeight="1">
      <c r="A522" s="233"/>
      <c r="B522" s="227"/>
      <c r="C522" s="227"/>
      <c r="D522" s="226"/>
      <c r="E522" s="235"/>
    </row>
    <row r="523" ht="22.5" customHeight="1">
      <c r="A523" s="233"/>
      <c r="B523" s="227"/>
      <c r="C523" s="227"/>
      <c r="D523" s="226"/>
      <c r="E523" s="235"/>
    </row>
    <row r="524" ht="22.5" customHeight="1">
      <c r="A524" s="233"/>
      <c r="B524" s="227"/>
      <c r="C524" s="227"/>
      <c r="D524" s="226"/>
      <c r="E524" s="235"/>
    </row>
    <row r="525" ht="22.5" customHeight="1">
      <c r="A525" s="233"/>
      <c r="B525" s="227"/>
      <c r="C525" s="227"/>
      <c r="D525" s="226"/>
      <c r="E525" s="235"/>
    </row>
    <row r="526" ht="22.5" customHeight="1">
      <c r="A526" s="233"/>
      <c r="B526" s="227"/>
      <c r="C526" s="227"/>
      <c r="D526" s="226"/>
      <c r="E526" s="235"/>
    </row>
    <row r="527" ht="22.5" customHeight="1">
      <c r="A527" s="233"/>
      <c r="B527" s="227"/>
      <c r="C527" s="227"/>
      <c r="D527" s="226"/>
      <c r="E527" s="235"/>
    </row>
    <row r="528" ht="22.5" customHeight="1">
      <c r="A528" s="233"/>
      <c r="B528" s="227"/>
      <c r="C528" s="227"/>
      <c r="D528" s="226"/>
      <c r="E528" s="235"/>
    </row>
    <row r="529" ht="22.5" customHeight="1">
      <c r="A529" s="233"/>
      <c r="B529" s="227"/>
      <c r="C529" s="227"/>
      <c r="D529" s="226"/>
      <c r="E529" s="235"/>
    </row>
    <row r="530" ht="22.5" customHeight="1">
      <c r="A530" s="233"/>
      <c r="B530" s="227"/>
      <c r="C530" s="227"/>
      <c r="D530" s="226"/>
      <c r="E530" s="235"/>
    </row>
    <row r="531" ht="22.5" customHeight="1">
      <c r="A531" s="233"/>
      <c r="B531" s="227"/>
      <c r="C531" s="227"/>
      <c r="D531" s="226"/>
      <c r="E531" s="235"/>
    </row>
    <row r="532" ht="22.5" customHeight="1">
      <c r="A532" s="233"/>
      <c r="B532" s="227"/>
      <c r="C532" s="227"/>
      <c r="D532" s="226"/>
      <c r="E532" s="235"/>
    </row>
    <row r="533" ht="22.5" customHeight="1">
      <c r="A533" s="233"/>
      <c r="B533" s="227"/>
      <c r="C533" s="227"/>
      <c r="D533" s="226"/>
      <c r="E533" s="235"/>
    </row>
    <row r="534" ht="22.5" customHeight="1">
      <c r="A534" s="233"/>
      <c r="B534" s="227"/>
      <c r="C534" s="227"/>
      <c r="D534" s="226"/>
      <c r="E534" s="235"/>
    </row>
    <row r="535" ht="22.5" customHeight="1">
      <c r="A535" s="233"/>
      <c r="B535" s="227"/>
      <c r="C535" s="227"/>
      <c r="D535" s="226"/>
      <c r="E535" s="235"/>
    </row>
    <row r="536" ht="22.5" customHeight="1">
      <c r="A536" s="233"/>
      <c r="B536" s="227"/>
      <c r="C536" s="227"/>
      <c r="D536" s="226"/>
      <c r="E536" s="235"/>
    </row>
    <row r="537" ht="22.5" customHeight="1">
      <c r="A537" s="233"/>
      <c r="B537" s="227"/>
      <c r="C537" s="227"/>
      <c r="D537" s="226"/>
      <c r="E537" s="235"/>
    </row>
    <row r="538" ht="22.5" customHeight="1">
      <c r="A538" s="233"/>
      <c r="B538" s="227"/>
      <c r="C538" s="227"/>
      <c r="D538" s="226"/>
      <c r="E538" s="235"/>
    </row>
    <row r="539" ht="22.5" customHeight="1">
      <c r="A539" s="233"/>
      <c r="B539" s="227"/>
      <c r="C539" s="227"/>
      <c r="D539" s="226"/>
      <c r="E539" s="235"/>
    </row>
    <row r="540" ht="22.5" customHeight="1">
      <c r="A540" s="233"/>
      <c r="B540" s="227"/>
      <c r="C540" s="227"/>
      <c r="D540" s="226"/>
      <c r="E540" s="235"/>
    </row>
    <row r="541" ht="22.5" customHeight="1">
      <c r="A541" s="233"/>
      <c r="B541" s="227"/>
      <c r="C541" s="227"/>
      <c r="D541" s="226"/>
      <c r="E541" s="235"/>
    </row>
    <row r="542" ht="22.5" customHeight="1">
      <c r="A542" s="233"/>
      <c r="B542" s="227"/>
      <c r="C542" s="227"/>
      <c r="D542" s="226"/>
      <c r="E542" s="235"/>
    </row>
    <row r="543" ht="22.5" customHeight="1">
      <c r="A543" s="233"/>
      <c r="B543" s="227"/>
      <c r="C543" s="227"/>
      <c r="D543" s="226"/>
      <c r="E543" s="235"/>
    </row>
    <row r="544" ht="22.5" customHeight="1">
      <c r="A544" s="233"/>
      <c r="B544" s="227"/>
      <c r="C544" s="227"/>
      <c r="D544" s="226"/>
      <c r="E544" s="235"/>
    </row>
    <row r="545" ht="22.5" customHeight="1">
      <c r="A545" s="233"/>
      <c r="B545" s="227"/>
      <c r="C545" s="227"/>
      <c r="D545" s="226"/>
      <c r="E545" s="235"/>
    </row>
    <row r="546" ht="22.5" customHeight="1">
      <c r="A546" s="233"/>
      <c r="B546" s="227"/>
      <c r="C546" s="227"/>
      <c r="D546" s="226"/>
      <c r="E546" s="235"/>
    </row>
    <row r="547" ht="22.5" customHeight="1">
      <c r="A547" s="233"/>
      <c r="B547" s="227"/>
      <c r="C547" s="227"/>
      <c r="D547" s="226"/>
      <c r="E547" s="235"/>
    </row>
    <row r="548" ht="22.5" customHeight="1">
      <c r="A548" s="233"/>
      <c r="B548" s="227"/>
      <c r="C548" s="227"/>
      <c r="D548" s="226"/>
      <c r="E548" s="235"/>
    </row>
    <row r="549" ht="22.5" customHeight="1">
      <c r="A549" s="233"/>
      <c r="B549" s="227"/>
      <c r="C549" s="227"/>
      <c r="D549" s="226"/>
      <c r="E549" s="235"/>
    </row>
    <row r="550" ht="22.5" customHeight="1">
      <c r="A550" s="233"/>
      <c r="B550" s="227"/>
      <c r="C550" s="227"/>
      <c r="D550" s="226"/>
      <c r="E550" s="235"/>
    </row>
    <row r="551" ht="22.5" customHeight="1">
      <c r="A551" s="233"/>
      <c r="B551" s="227"/>
      <c r="C551" s="227"/>
      <c r="D551" s="226"/>
      <c r="E551" s="235"/>
    </row>
    <row r="552" ht="22.5" customHeight="1">
      <c r="A552" s="233"/>
      <c r="B552" s="227"/>
      <c r="C552" s="227"/>
      <c r="D552" s="226"/>
      <c r="E552" s="235"/>
    </row>
    <row r="553" ht="22.5" customHeight="1">
      <c r="A553" s="233"/>
      <c r="B553" s="227"/>
      <c r="C553" s="227"/>
      <c r="D553" s="226"/>
      <c r="E553" s="235"/>
    </row>
    <row r="554" ht="22.5" customHeight="1">
      <c r="A554" s="233"/>
      <c r="B554" s="227"/>
      <c r="C554" s="227"/>
      <c r="D554" s="226"/>
      <c r="E554" s="235"/>
    </row>
    <row r="555" ht="22.5" customHeight="1">
      <c r="A555" s="233"/>
      <c r="B555" s="227"/>
      <c r="C555" s="227"/>
      <c r="D555" s="226"/>
      <c r="E555" s="235"/>
    </row>
    <row r="556" ht="22.5" customHeight="1">
      <c r="A556" s="233"/>
      <c r="B556" s="227"/>
      <c r="C556" s="227"/>
      <c r="D556" s="226"/>
      <c r="E556" s="235"/>
    </row>
    <row r="557" ht="22.5" customHeight="1">
      <c r="A557" s="233"/>
      <c r="B557" s="227"/>
      <c r="C557" s="227"/>
      <c r="D557" s="226"/>
      <c r="E557" s="235"/>
    </row>
    <row r="558" ht="22.5" customHeight="1">
      <c r="A558" s="233"/>
      <c r="B558" s="227"/>
      <c r="C558" s="227"/>
      <c r="D558" s="226"/>
      <c r="E558" s="235"/>
    </row>
    <row r="559" ht="22.5" customHeight="1">
      <c r="A559" s="233"/>
      <c r="B559" s="227"/>
      <c r="C559" s="227"/>
      <c r="D559" s="226"/>
      <c r="E559" s="235"/>
    </row>
    <row r="560" ht="22.5" customHeight="1">
      <c r="A560" s="233"/>
      <c r="B560" s="227"/>
      <c r="C560" s="227"/>
      <c r="D560" s="226"/>
      <c r="E560" s="235"/>
    </row>
    <row r="561" ht="22.5" customHeight="1">
      <c r="A561" s="233"/>
      <c r="B561" s="227"/>
      <c r="C561" s="227"/>
      <c r="D561" s="226"/>
      <c r="E561" s="235"/>
    </row>
    <row r="562" ht="22.5" customHeight="1">
      <c r="A562" s="233"/>
      <c r="B562" s="227"/>
      <c r="C562" s="227"/>
      <c r="D562" s="226"/>
      <c r="E562" s="235"/>
    </row>
    <row r="563" ht="22.5" customHeight="1">
      <c r="A563" s="233"/>
      <c r="B563" s="227"/>
      <c r="C563" s="227"/>
      <c r="D563" s="226"/>
      <c r="E563" s="235"/>
    </row>
    <row r="564" ht="22.5" customHeight="1">
      <c r="A564" s="233"/>
      <c r="B564" s="227"/>
      <c r="C564" s="227"/>
      <c r="D564" s="226"/>
      <c r="E564" s="235"/>
    </row>
    <row r="565" ht="22.5" customHeight="1">
      <c r="A565" s="233"/>
      <c r="B565" s="227"/>
      <c r="C565" s="227"/>
      <c r="D565" s="226"/>
      <c r="E565" s="235"/>
    </row>
    <row r="566" ht="22.5" customHeight="1">
      <c r="A566" s="233"/>
      <c r="B566" s="227"/>
      <c r="C566" s="227"/>
      <c r="D566" s="226"/>
      <c r="E566" s="235"/>
    </row>
    <row r="567" ht="22.5" customHeight="1">
      <c r="A567" s="233"/>
      <c r="B567" s="227"/>
      <c r="C567" s="227"/>
      <c r="D567" s="226"/>
      <c r="E567" s="235"/>
    </row>
    <row r="568" ht="22.5" customHeight="1">
      <c r="A568" s="233"/>
      <c r="B568" s="227"/>
      <c r="C568" s="227"/>
      <c r="D568" s="226"/>
      <c r="E568" s="235"/>
    </row>
    <row r="569" ht="22.5" customHeight="1">
      <c r="A569" s="233"/>
      <c r="B569" s="227"/>
      <c r="C569" s="227"/>
      <c r="D569" s="226"/>
      <c r="E569" s="235"/>
    </row>
    <row r="570" ht="22.5" customHeight="1">
      <c r="A570" s="233"/>
      <c r="B570" s="227"/>
      <c r="C570" s="227"/>
      <c r="D570" s="226"/>
      <c r="E570" s="235"/>
    </row>
    <row r="571" ht="22.5" customHeight="1">
      <c r="A571" s="233"/>
      <c r="B571" s="227"/>
      <c r="C571" s="227"/>
      <c r="D571" s="226"/>
      <c r="E571" s="235"/>
    </row>
    <row r="572" ht="22.5" customHeight="1">
      <c r="A572" s="233"/>
      <c r="B572" s="227"/>
      <c r="C572" s="227"/>
      <c r="D572" s="226"/>
      <c r="E572" s="235"/>
    </row>
    <row r="573" ht="22.5" customHeight="1">
      <c r="A573" s="233"/>
      <c r="B573" s="227"/>
      <c r="C573" s="227"/>
      <c r="D573" s="226"/>
      <c r="E573" s="235"/>
    </row>
    <row r="574" ht="22.5" customHeight="1">
      <c r="A574" s="233"/>
      <c r="B574" s="227"/>
      <c r="C574" s="227"/>
      <c r="D574" s="226"/>
      <c r="E574" s="235"/>
    </row>
    <row r="575" ht="22.5" customHeight="1">
      <c r="A575" s="233"/>
      <c r="B575" s="227"/>
      <c r="C575" s="227"/>
      <c r="D575" s="226"/>
      <c r="E575" s="235"/>
    </row>
    <row r="576" ht="22.5" customHeight="1">
      <c r="A576" s="233"/>
      <c r="B576" s="227"/>
      <c r="C576" s="227"/>
      <c r="D576" s="226"/>
      <c r="E576" s="235"/>
    </row>
    <row r="577" ht="22.5" customHeight="1">
      <c r="A577" s="233"/>
      <c r="B577" s="227"/>
      <c r="C577" s="227"/>
      <c r="D577" s="226"/>
      <c r="E577" s="235"/>
    </row>
    <row r="578" ht="22.5" customHeight="1">
      <c r="A578" s="233"/>
      <c r="B578" s="227"/>
      <c r="C578" s="227"/>
      <c r="D578" s="226"/>
      <c r="E578" s="235"/>
    </row>
    <row r="579" ht="22.5" customHeight="1">
      <c r="A579" s="233"/>
      <c r="B579" s="227"/>
      <c r="C579" s="227"/>
      <c r="D579" s="226"/>
      <c r="E579" s="235"/>
    </row>
    <row r="580" ht="22.5" customHeight="1">
      <c r="A580" s="233"/>
      <c r="B580" s="227"/>
      <c r="C580" s="227"/>
      <c r="D580" s="226"/>
      <c r="E580" s="235"/>
    </row>
    <row r="581" ht="22.5" customHeight="1">
      <c r="A581" s="233"/>
      <c r="B581" s="227"/>
      <c r="C581" s="227"/>
      <c r="D581" s="226"/>
      <c r="E581" s="235"/>
    </row>
    <row r="582" ht="22.5" customHeight="1">
      <c r="A582" s="233"/>
      <c r="B582" s="227"/>
      <c r="C582" s="227"/>
      <c r="D582" s="226"/>
      <c r="E582" s="235"/>
    </row>
    <row r="583" ht="22.5" customHeight="1">
      <c r="A583" s="233"/>
      <c r="B583" s="227"/>
      <c r="C583" s="227"/>
      <c r="D583" s="226"/>
      <c r="E583" s="235"/>
    </row>
    <row r="584" ht="22.5" customHeight="1">
      <c r="A584" s="233"/>
      <c r="B584" s="227"/>
      <c r="C584" s="227"/>
      <c r="D584" s="226"/>
      <c r="E584" s="235"/>
    </row>
    <row r="585" ht="22.5" customHeight="1">
      <c r="A585" s="233"/>
      <c r="B585" s="227"/>
      <c r="C585" s="227"/>
      <c r="D585" s="226"/>
      <c r="E585" s="235"/>
    </row>
    <row r="586" ht="22.5" customHeight="1">
      <c r="A586" s="233"/>
      <c r="B586" s="227"/>
      <c r="C586" s="227"/>
      <c r="D586" s="226"/>
      <c r="E586" s="235"/>
    </row>
    <row r="587" ht="22.5" customHeight="1">
      <c r="A587" s="233"/>
      <c r="B587" s="227"/>
      <c r="C587" s="227"/>
      <c r="D587" s="226"/>
      <c r="E587" s="235"/>
    </row>
    <row r="588" ht="22.5" customHeight="1">
      <c r="A588" s="233"/>
      <c r="B588" s="227"/>
      <c r="C588" s="227"/>
      <c r="D588" s="226"/>
      <c r="E588" s="235"/>
    </row>
    <row r="589" ht="22.5" customHeight="1">
      <c r="A589" s="233"/>
      <c r="B589" s="227"/>
      <c r="C589" s="227"/>
      <c r="D589" s="226"/>
      <c r="E589" s="235"/>
    </row>
    <row r="590" ht="22.5" customHeight="1">
      <c r="A590" s="233"/>
      <c r="B590" s="227"/>
      <c r="C590" s="227"/>
      <c r="D590" s="226"/>
      <c r="E590" s="235"/>
    </row>
    <row r="591" ht="22.5" customHeight="1">
      <c r="A591" s="233"/>
      <c r="B591" s="227"/>
      <c r="C591" s="227"/>
      <c r="D591" s="226"/>
      <c r="E591" s="235"/>
    </row>
    <row r="592" ht="22.5" customHeight="1">
      <c r="A592" s="233"/>
      <c r="B592" s="227"/>
      <c r="C592" s="227"/>
      <c r="D592" s="226"/>
      <c r="E592" s="235"/>
    </row>
    <row r="593" ht="22.5" customHeight="1">
      <c r="A593" s="233"/>
      <c r="B593" s="227"/>
      <c r="C593" s="227"/>
      <c r="D593" s="226"/>
      <c r="E593" s="235"/>
    </row>
    <row r="594" ht="22.5" customHeight="1">
      <c r="A594" s="233"/>
      <c r="B594" s="227"/>
      <c r="C594" s="227"/>
      <c r="D594" s="226"/>
      <c r="E594" s="235"/>
    </row>
    <row r="595" ht="22.5" customHeight="1">
      <c r="A595" s="233"/>
      <c r="B595" s="227"/>
      <c r="C595" s="227"/>
      <c r="D595" s="226"/>
      <c r="E595" s="235"/>
    </row>
    <row r="596" ht="22.5" customHeight="1">
      <c r="A596" s="233"/>
      <c r="B596" s="227"/>
      <c r="C596" s="227"/>
      <c r="D596" s="226"/>
      <c r="E596" s="235"/>
    </row>
    <row r="597" ht="22.5" customHeight="1">
      <c r="A597" s="233"/>
      <c r="B597" s="227"/>
      <c r="C597" s="227"/>
      <c r="D597" s="226"/>
      <c r="E597" s="235"/>
    </row>
    <row r="598" ht="22.5" customHeight="1">
      <c r="A598" s="233"/>
      <c r="B598" s="227"/>
      <c r="C598" s="227"/>
      <c r="D598" s="226"/>
      <c r="E598" s="235"/>
    </row>
    <row r="599" ht="22.5" customHeight="1">
      <c r="A599" s="233"/>
      <c r="B599" s="227"/>
      <c r="C599" s="227"/>
      <c r="D599" s="226"/>
      <c r="E599" s="235"/>
    </row>
    <row r="600" ht="22.5" customHeight="1">
      <c r="A600" s="233"/>
      <c r="B600" s="227"/>
      <c r="C600" s="227"/>
      <c r="D600" s="226"/>
      <c r="E600" s="235"/>
    </row>
    <row r="601" ht="22.5" customHeight="1">
      <c r="A601" s="233"/>
      <c r="B601" s="227"/>
      <c r="C601" s="227"/>
      <c r="D601" s="226"/>
      <c r="E601" s="235"/>
    </row>
    <row r="602" ht="22.5" customHeight="1">
      <c r="A602" s="233"/>
      <c r="B602" s="227"/>
      <c r="C602" s="227"/>
      <c r="D602" s="226"/>
      <c r="E602" s="235"/>
    </row>
    <row r="603" ht="22.5" customHeight="1">
      <c r="A603" s="233"/>
      <c r="B603" s="227"/>
      <c r="C603" s="227"/>
      <c r="D603" s="226"/>
      <c r="E603" s="235"/>
    </row>
    <row r="604" ht="22.5" customHeight="1">
      <c r="A604" s="233"/>
      <c r="B604" s="227"/>
      <c r="C604" s="227"/>
      <c r="D604" s="226"/>
      <c r="E604" s="235"/>
    </row>
    <row r="605" ht="22.5" customHeight="1">
      <c r="A605" s="233"/>
      <c r="B605" s="227"/>
      <c r="C605" s="227"/>
      <c r="D605" s="226"/>
      <c r="E605" s="235"/>
    </row>
    <row r="606" ht="22.5" customHeight="1">
      <c r="A606" s="233"/>
      <c r="B606" s="227"/>
      <c r="C606" s="227"/>
      <c r="D606" s="226"/>
      <c r="E606" s="235"/>
    </row>
    <row r="607" ht="22.5" customHeight="1">
      <c r="A607" s="233"/>
      <c r="B607" s="227"/>
      <c r="C607" s="227"/>
      <c r="D607" s="226"/>
      <c r="E607" s="235"/>
    </row>
    <row r="608" ht="22.5" customHeight="1">
      <c r="A608" s="233"/>
      <c r="B608" s="227"/>
      <c r="C608" s="227"/>
      <c r="D608" s="226"/>
      <c r="E608" s="235"/>
    </row>
    <row r="609" ht="22.5" customHeight="1">
      <c r="A609" s="233"/>
      <c r="B609" s="227"/>
      <c r="C609" s="227"/>
      <c r="D609" s="226"/>
      <c r="E609" s="235"/>
    </row>
    <row r="610" ht="22.5" customHeight="1">
      <c r="A610" s="233"/>
      <c r="B610" s="227"/>
      <c r="C610" s="227"/>
      <c r="D610" s="226"/>
      <c r="E610" s="235"/>
    </row>
    <row r="611" ht="22.5" customHeight="1">
      <c r="A611" s="233"/>
      <c r="B611" s="227"/>
      <c r="C611" s="227"/>
      <c r="D611" s="226"/>
      <c r="E611" s="235"/>
    </row>
    <row r="612" ht="22.5" customHeight="1">
      <c r="A612" s="233"/>
      <c r="B612" s="227"/>
      <c r="C612" s="227"/>
      <c r="D612" s="226"/>
      <c r="E612" s="235"/>
    </row>
    <row r="613" ht="22.5" customHeight="1">
      <c r="A613" s="233"/>
      <c r="B613" s="227"/>
      <c r="C613" s="227"/>
      <c r="D613" s="226"/>
      <c r="E613" s="235"/>
    </row>
    <row r="614" ht="22.5" customHeight="1">
      <c r="A614" s="233"/>
      <c r="B614" s="227"/>
      <c r="C614" s="227"/>
      <c r="D614" s="226"/>
      <c r="E614" s="235"/>
    </row>
    <row r="615" ht="22.5" customHeight="1">
      <c r="A615" s="233"/>
      <c r="B615" s="227"/>
      <c r="C615" s="227"/>
      <c r="D615" s="226"/>
      <c r="E615" s="235"/>
    </row>
    <row r="616" ht="22.5" customHeight="1">
      <c r="A616" s="233"/>
      <c r="B616" s="227"/>
      <c r="C616" s="227"/>
      <c r="D616" s="226"/>
      <c r="E616" s="235"/>
    </row>
    <row r="617" ht="22.5" customHeight="1">
      <c r="A617" s="233"/>
      <c r="B617" s="227"/>
      <c r="C617" s="227"/>
      <c r="D617" s="226"/>
      <c r="E617" s="235"/>
    </row>
    <row r="618" ht="22.5" customHeight="1">
      <c r="A618" s="233"/>
      <c r="B618" s="227"/>
      <c r="C618" s="227"/>
      <c r="D618" s="226"/>
      <c r="E618" s="235"/>
    </row>
    <row r="619" ht="22.5" customHeight="1">
      <c r="A619" s="233"/>
      <c r="B619" s="227"/>
      <c r="C619" s="227"/>
      <c r="D619" s="226"/>
      <c r="E619" s="235"/>
    </row>
    <row r="620" ht="22.5" customHeight="1">
      <c r="A620" s="233"/>
      <c r="B620" s="227"/>
      <c r="C620" s="227"/>
      <c r="D620" s="226"/>
      <c r="E620" s="235"/>
    </row>
    <row r="621" ht="22.5" customHeight="1">
      <c r="A621" s="233"/>
      <c r="B621" s="227"/>
      <c r="C621" s="227"/>
      <c r="D621" s="226"/>
      <c r="E621" s="235"/>
    </row>
    <row r="622" ht="22.5" customHeight="1">
      <c r="A622" s="233"/>
      <c r="B622" s="227"/>
      <c r="C622" s="227"/>
      <c r="D622" s="226"/>
      <c r="E622" s="235"/>
    </row>
    <row r="623" ht="22.5" customHeight="1">
      <c r="A623" s="233"/>
      <c r="B623" s="227"/>
      <c r="C623" s="227"/>
      <c r="D623" s="226"/>
      <c r="E623" s="235"/>
    </row>
    <row r="624" ht="22.5" customHeight="1">
      <c r="A624" s="233"/>
      <c r="B624" s="227"/>
      <c r="C624" s="227"/>
      <c r="D624" s="226"/>
      <c r="E624" s="235"/>
    </row>
    <row r="625" ht="22.5" customHeight="1">
      <c r="A625" s="233"/>
      <c r="B625" s="227"/>
      <c r="C625" s="227"/>
      <c r="D625" s="226"/>
      <c r="E625" s="235"/>
    </row>
    <row r="626" ht="22.5" customHeight="1">
      <c r="A626" s="233"/>
      <c r="B626" s="227"/>
      <c r="C626" s="227"/>
      <c r="D626" s="226"/>
      <c r="E626" s="235"/>
    </row>
    <row r="627" ht="22.5" customHeight="1">
      <c r="A627" s="233"/>
      <c r="B627" s="227"/>
      <c r="C627" s="227"/>
      <c r="D627" s="226"/>
      <c r="E627" s="235"/>
    </row>
    <row r="628" ht="22.5" customHeight="1">
      <c r="A628" s="233"/>
      <c r="B628" s="227"/>
      <c r="C628" s="227"/>
      <c r="D628" s="226"/>
      <c r="E628" s="235"/>
    </row>
    <row r="629" ht="22.5" customHeight="1">
      <c r="A629" s="233"/>
      <c r="B629" s="227"/>
      <c r="C629" s="227"/>
      <c r="D629" s="226"/>
      <c r="E629" s="235"/>
    </row>
    <row r="630" ht="22.5" customHeight="1">
      <c r="A630" s="233"/>
      <c r="B630" s="227"/>
      <c r="C630" s="227"/>
      <c r="D630" s="226"/>
      <c r="E630" s="235"/>
    </row>
    <row r="631" ht="22.5" customHeight="1">
      <c r="A631" s="233"/>
      <c r="B631" s="227"/>
      <c r="C631" s="227"/>
      <c r="D631" s="226"/>
      <c r="E631" s="235"/>
    </row>
    <row r="632" ht="22.5" customHeight="1">
      <c r="A632" s="233"/>
      <c r="B632" s="227"/>
      <c r="C632" s="227"/>
      <c r="D632" s="226"/>
      <c r="E632" s="235"/>
    </row>
    <row r="633" ht="22.5" customHeight="1">
      <c r="A633" s="233"/>
      <c r="B633" s="227"/>
      <c r="C633" s="227"/>
      <c r="D633" s="226"/>
      <c r="E633" s="235"/>
    </row>
    <row r="634" ht="22.5" customHeight="1">
      <c r="A634" s="233"/>
      <c r="B634" s="227"/>
      <c r="C634" s="227"/>
      <c r="D634" s="226"/>
      <c r="E634" s="235"/>
    </row>
    <row r="635" ht="22.5" customHeight="1">
      <c r="A635" s="233"/>
      <c r="B635" s="227"/>
      <c r="C635" s="227"/>
      <c r="D635" s="226"/>
      <c r="E635" s="235"/>
    </row>
    <row r="636" ht="22.5" customHeight="1">
      <c r="A636" s="233"/>
      <c r="B636" s="227"/>
      <c r="C636" s="227"/>
      <c r="D636" s="226"/>
      <c r="E636" s="235"/>
    </row>
    <row r="637" ht="22.5" customHeight="1">
      <c r="A637" s="233"/>
      <c r="B637" s="227"/>
      <c r="C637" s="227"/>
      <c r="D637" s="226"/>
      <c r="E637" s="235"/>
    </row>
    <row r="638" ht="22.5" customHeight="1">
      <c r="A638" s="233"/>
      <c r="B638" s="227"/>
      <c r="C638" s="227"/>
      <c r="D638" s="226"/>
      <c r="E638" s="235"/>
    </row>
    <row r="639" ht="22.5" customHeight="1">
      <c r="A639" s="233"/>
      <c r="B639" s="227"/>
      <c r="C639" s="227"/>
      <c r="D639" s="226"/>
      <c r="E639" s="235"/>
    </row>
    <row r="640" ht="22.5" customHeight="1">
      <c r="A640" s="233"/>
      <c r="B640" s="227"/>
      <c r="C640" s="227"/>
      <c r="D640" s="226"/>
      <c r="E640" s="235"/>
    </row>
    <row r="641" ht="22.5" customHeight="1">
      <c r="A641" s="233"/>
      <c r="B641" s="227"/>
      <c r="C641" s="227"/>
      <c r="D641" s="226"/>
      <c r="E641" s="235"/>
    </row>
    <row r="642" ht="22.5" customHeight="1">
      <c r="A642" s="233"/>
      <c r="B642" s="227"/>
      <c r="C642" s="227"/>
      <c r="D642" s="226"/>
      <c r="E642" s="235"/>
    </row>
    <row r="643" ht="22.5" customHeight="1">
      <c r="A643" s="233"/>
      <c r="B643" s="227"/>
      <c r="C643" s="227"/>
      <c r="D643" s="226"/>
      <c r="E643" s="235"/>
    </row>
    <row r="644" ht="22.5" customHeight="1">
      <c r="A644" s="233"/>
      <c r="B644" s="227"/>
      <c r="C644" s="227"/>
      <c r="D644" s="226"/>
      <c r="E644" s="235"/>
    </row>
    <row r="645" ht="22.5" customHeight="1">
      <c r="A645" s="233"/>
      <c r="B645" s="227"/>
      <c r="C645" s="227"/>
      <c r="D645" s="226"/>
      <c r="E645" s="235"/>
    </row>
    <row r="646" ht="22.5" customHeight="1">
      <c r="A646" s="233"/>
      <c r="B646" s="227"/>
      <c r="C646" s="227"/>
      <c r="D646" s="226"/>
      <c r="E646" s="235"/>
    </row>
    <row r="647" ht="22.5" customHeight="1">
      <c r="A647" s="233"/>
      <c r="B647" s="227"/>
      <c r="C647" s="227"/>
      <c r="D647" s="226"/>
      <c r="E647" s="235"/>
    </row>
    <row r="648" ht="22.5" customHeight="1">
      <c r="A648" s="233"/>
      <c r="B648" s="227"/>
      <c r="C648" s="227"/>
      <c r="D648" s="226"/>
      <c r="E648" s="235"/>
    </row>
    <row r="649" ht="22.5" customHeight="1">
      <c r="A649" s="233"/>
      <c r="B649" s="227"/>
      <c r="C649" s="227"/>
      <c r="D649" s="226"/>
      <c r="E649" s="235"/>
    </row>
    <row r="650" ht="22.5" customHeight="1">
      <c r="A650" s="233"/>
      <c r="B650" s="227"/>
      <c r="C650" s="227"/>
      <c r="D650" s="226"/>
      <c r="E650" s="235"/>
    </row>
    <row r="651" ht="22.5" customHeight="1">
      <c r="A651" s="233"/>
      <c r="B651" s="227"/>
      <c r="C651" s="227"/>
      <c r="D651" s="226"/>
      <c r="E651" s="235"/>
    </row>
    <row r="652" ht="22.5" customHeight="1">
      <c r="A652" s="233"/>
      <c r="B652" s="227"/>
      <c r="C652" s="227"/>
      <c r="D652" s="226"/>
      <c r="E652" s="235"/>
    </row>
    <row r="653" ht="22.5" customHeight="1">
      <c r="A653" s="233"/>
      <c r="B653" s="227"/>
      <c r="C653" s="227"/>
      <c r="D653" s="226"/>
      <c r="E653" s="235"/>
    </row>
    <row r="654" ht="22.5" customHeight="1">
      <c r="A654" s="233"/>
      <c r="B654" s="227"/>
      <c r="C654" s="227"/>
      <c r="D654" s="226"/>
      <c r="E654" s="235"/>
    </row>
    <row r="655" ht="22.5" customHeight="1">
      <c r="A655" s="233"/>
      <c r="B655" s="227"/>
      <c r="C655" s="227"/>
      <c r="D655" s="226"/>
      <c r="E655" s="235"/>
    </row>
    <row r="656" ht="22.5" customHeight="1">
      <c r="A656" s="233"/>
      <c r="B656" s="227"/>
      <c r="C656" s="227"/>
      <c r="D656" s="226"/>
      <c r="E656" s="235"/>
    </row>
    <row r="657" ht="22.5" customHeight="1">
      <c r="A657" s="233"/>
      <c r="B657" s="227"/>
      <c r="C657" s="227"/>
      <c r="D657" s="226"/>
      <c r="E657" s="235"/>
    </row>
    <row r="658" ht="22.5" customHeight="1">
      <c r="A658" s="233"/>
      <c r="B658" s="227"/>
      <c r="C658" s="227"/>
      <c r="D658" s="226"/>
      <c r="E658" s="235"/>
    </row>
    <row r="659" ht="22.5" customHeight="1">
      <c r="A659" s="233"/>
      <c r="B659" s="227"/>
      <c r="C659" s="227"/>
      <c r="D659" s="226"/>
      <c r="E659" s="235"/>
    </row>
    <row r="660" ht="22.5" customHeight="1">
      <c r="A660" s="233"/>
      <c r="B660" s="227"/>
      <c r="C660" s="227"/>
      <c r="D660" s="226"/>
      <c r="E660" s="235"/>
    </row>
    <row r="661" ht="22.5" customHeight="1">
      <c r="A661" s="233"/>
      <c r="B661" s="227"/>
      <c r="C661" s="227"/>
      <c r="D661" s="226"/>
      <c r="E661" s="235"/>
    </row>
    <row r="662" ht="22.5" customHeight="1">
      <c r="A662" s="233"/>
      <c r="B662" s="227"/>
      <c r="C662" s="227"/>
      <c r="D662" s="226"/>
      <c r="E662" s="235"/>
    </row>
    <row r="663" ht="22.5" customHeight="1">
      <c r="A663" s="233"/>
      <c r="B663" s="227"/>
      <c r="C663" s="227"/>
      <c r="D663" s="226"/>
      <c r="E663" s="235"/>
    </row>
    <row r="664" ht="22.5" customHeight="1">
      <c r="A664" s="233"/>
      <c r="B664" s="227"/>
      <c r="C664" s="227"/>
      <c r="D664" s="226"/>
      <c r="E664" s="235"/>
    </row>
    <row r="665" ht="22.5" customHeight="1">
      <c r="A665" s="233"/>
      <c r="B665" s="227"/>
      <c r="C665" s="227"/>
      <c r="D665" s="226"/>
      <c r="E665" s="235"/>
    </row>
    <row r="666" ht="22.5" customHeight="1">
      <c r="A666" s="233"/>
      <c r="B666" s="227"/>
      <c r="C666" s="227"/>
      <c r="D666" s="226"/>
      <c r="E666" s="235"/>
    </row>
    <row r="667" ht="22.5" customHeight="1">
      <c r="A667" s="233"/>
      <c r="B667" s="227"/>
      <c r="C667" s="227"/>
      <c r="D667" s="226"/>
      <c r="E667" s="235"/>
    </row>
    <row r="668" ht="22.5" customHeight="1">
      <c r="A668" s="233"/>
      <c r="B668" s="227"/>
      <c r="C668" s="227"/>
      <c r="D668" s="226"/>
      <c r="E668" s="235"/>
    </row>
    <row r="669" ht="22.5" customHeight="1">
      <c r="A669" s="233"/>
      <c r="B669" s="227"/>
      <c r="C669" s="227"/>
      <c r="D669" s="226"/>
      <c r="E669" s="235"/>
    </row>
    <row r="670" ht="22.5" customHeight="1">
      <c r="A670" s="233"/>
      <c r="B670" s="227"/>
      <c r="C670" s="227"/>
      <c r="D670" s="226"/>
      <c r="E670" s="235"/>
    </row>
    <row r="671" ht="22.5" customHeight="1">
      <c r="A671" s="233"/>
      <c r="B671" s="227"/>
      <c r="C671" s="227"/>
      <c r="D671" s="226"/>
      <c r="E671" s="235"/>
    </row>
    <row r="672" ht="22.5" customHeight="1">
      <c r="A672" s="233"/>
      <c r="B672" s="227"/>
      <c r="C672" s="227"/>
      <c r="D672" s="226"/>
      <c r="E672" s="235"/>
    </row>
    <row r="673" ht="22.5" customHeight="1">
      <c r="A673" s="233"/>
      <c r="B673" s="227"/>
      <c r="C673" s="227"/>
      <c r="D673" s="226"/>
      <c r="E673" s="235"/>
    </row>
    <row r="674" ht="22.5" customHeight="1">
      <c r="A674" s="233"/>
      <c r="B674" s="227"/>
      <c r="C674" s="227"/>
      <c r="D674" s="226"/>
      <c r="E674" s="235"/>
    </row>
    <row r="675" ht="22.5" customHeight="1">
      <c r="A675" s="233"/>
      <c r="B675" s="227"/>
      <c r="C675" s="227"/>
      <c r="D675" s="226"/>
      <c r="E675" s="235"/>
    </row>
    <row r="676" ht="22.5" customHeight="1">
      <c r="A676" s="233"/>
      <c r="B676" s="227"/>
      <c r="C676" s="227"/>
      <c r="D676" s="226"/>
      <c r="E676" s="235"/>
    </row>
    <row r="677" ht="22.5" customHeight="1">
      <c r="A677" s="233"/>
      <c r="B677" s="227"/>
      <c r="C677" s="227"/>
      <c r="D677" s="226"/>
      <c r="E677" s="235"/>
    </row>
    <row r="678" ht="22.5" customHeight="1">
      <c r="A678" s="233"/>
      <c r="B678" s="227"/>
      <c r="C678" s="227"/>
      <c r="D678" s="226"/>
      <c r="E678" s="235"/>
    </row>
    <row r="679" ht="22.5" customHeight="1">
      <c r="A679" s="233"/>
      <c r="B679" s="227"/>
      <c r="C679" s="227"/>
      <c r="D679" s="226"/>
      <c r="E679" s="235"/>
    </row>
    <row r="680" ht="22.5" customHeight="1">
      <c r="A680" s="233"/>
      <c r="B680" s="227"/>
      <c r="C680" s="227"/>
      <c r="D680" s="226"/>
      <c r="E680" s="235"/>
    </row>
    <row r="681" ht="22.5" customHeight="1">
      <c r="A681" s="233"/>
      <c r="B681" s="227"/>
      <c r="C681" s="227"/>
      <c r="D681" s="226"/>
      <c r="E681" s="235"/>
    </row>
    <row r="682" ht="22.5" customHeight="1">
      <c r="A682" s="233"/>
      <c r="B682" s="227"/>
      <c r="C682" s="227"/>
      <c r="D682" s="226"/>
      <c r="E682" s="235"/>
    </row>
    <row r="683" ht="22.5" customHeight="1">
      <c r="A683" s="233"/>
      <c r="B683" s="227"/>
      <c r="C683" s="227"/>
      <c r="D683" s="226"/>
      <c r="E683" s="235"/>
    </row>
    <row r="684" ht="22.5" customHeight="1">
      <c r="A684" s="233"/>
      <c r="B684" s="227"/>
      <c r="C684" s="227"/>
      <c r="D684" s="226"/>
      <c r="E684" s="235"/>
    </row>
    <row r="685" ht="22.5" customHeight="1">
      <c r="A685" s="233"/>
      <c r="B685" s="227"/>
      <c r="C685" s="227"/>
      <c r="D685" s="226"/>
      <c r="E685" s="235"/>
    </row>
    <row r="686" ht="22.5" customHeight="1">
      <c r="A686" s="233"/>
      <c r="B686" s="227"/>
      <c r="C686" s="227"/>
      <c r="D686" s="226"/>
      <c r="E686" s="235"/>
    </row>
    <row r="687" ht="22.5" customHeight="1">
      <c r="A687" s="233"/>
      <c r="B687" s="227"/>
      <c r="C687" s="227"/>
      <c r="D687" s="226"/>
      <c r="E687" s="235"/>
    </row>
    <row r="688" ht="22.5" customHeight="1">
      <c r="A688" s="233"/>
      <c r="B688" s="227"/>
      <c r="C688" s="227"/>
      <c r="D688" s="226"/>
      <c r="E688" s="235"/>
    </row>
    <row r="689" ht="22.5" customHeight="1">
      <c r="A689" s="233"/>
      <c r="B689" s="227"/>
      <c r="C689" s="227"/>
      <c r="D689" s="226"/>
      <c r="E689" s="235"/>
    </row>
    <row r="690" ht="22.5" customHeight="1">
      <c r="A690" s="233"/>
      <c r="B690" s="227"/>
      <c r="C690" s="227"/>
      <c r="D690" s="226"/>
      <c r="E690" s="235"/>
    </row>
    <row r="691" ht="22.5" customHeight="1">
      <c r="A691" s="233"/>
      <c r="B691" s="227"/>
      <c r="C691" s="227"/>
      <c r="D691" s="226"/>
      <c r="E691" s="235"/>
    </row>
    <row r="692" ht="22.5" customHeight="1">
      <c r="A692" s="233"/>
      <c r="B692" s="227"/>
      <c r="C692" s="227"/>
      <c r="D692" s="226"/>
      <c r="E692" s="235"/>
    </row>
    <row r="693" ht="22.5" customHeight="1">
      <c r="A693" s="233"/>
      <c r="B693" s="227"/>
      <c r="C693" s="227"/>
      <c r="D693" s="226"/>
      <c r="E693" s="235"/>
    </row>
    <row r="694" ht="22.5" customHeight="1">
      <c r="A694" s="233"/>
      <c r="B694" s="227"/>
      <c r="C694" s="227"/>
      <c r="D694" s="226"/>
      <c r="E694" s="235"/>
    </row>
    <row r="695" ht="22.5" customHeight="1">
      <c r="A695" s="233"/>
      <c r="B695" s="227"/>
      <c r="C695" s="227"/>
      <c r="D695" s="226"/>
      <c r="E695" s="235"/>
    </row>
    <row r="696" ht="22.5" customHeight="1">
      <c r="A696" s="233"/>
      <c r="B696" s="227"/>
      <c r="C696" s="227"/>
      <c r="D696" s="226"/>
      <c r="E696" s="235"/>
    </row>
    <row r="697" ht="22.5" customHeight="1">
      <c r="A697" s="233"/>
      <c r="B697" s="227"/>
      <c r="C697" s="227"/>
      <c r="D697" s="226"/>
      <c r="E697" s="235"/>
    </row>
    <row r="698" ht="22.5" customHeight="1">
      <c r="A698" s="233"/>
      <c r="B698" s="227"/>
      <c r="C698" s="227"/>
      <c r="D698" s="226"/>
      <c r="E698" s="235"/>
    </row>
    <row r="699" ht="22.5" customHeight="1">
      <c r="A699" s="233"/>
      <c r="B699" s="227"/>
      <c r="C699" s="227"/>
      <c r="D699" s="226"/>
      <c r="E699" s="235"/>
    </row>
    <row r="700" ht="22.5" customHeight="1">
      <c r="A700" s="233"/>
      <c r="B700" s="227"/>
      <c r="C700" s="227"/>
      <c r="D700" s="226"/>
      <c r="E700" s="235"/>
    </row>
    <row r="701" ht="22.5" customHeight="1">
      <c r="A701" s="233"/>
      <c r="B701" s="227"/>
      <c r="C701" s="227"/>
      <c r="D701" s="226"/>
      <c r="E701" s="235"/>
    </row>
    <row r="702" ht="22.5" customHeight="1">
      <c r="A702" s="233"/>
      <c r="B702" s="227"/>
      <c r="C702" s="227"/>
      <c r="D702" s="226"/>
      <c r="E702" s="235"/>
    </row>
    <row r="703" ht="22.5" customHeight="1">
      <c r="A703" s="233"/>
      <c r="B703" s="227"/>
      <c r="C703" s="227"/>
      <c r="D703" s="226"/>
      <c r="E703" s="235"/>
    </row>
    <row r="704" ht="22.5" customHeight="1">
      <c r="A704" s="233"/>
      <c r="B704" s="227"/>
      <c r="C704" s="227"/>
      <c r="D704" s="226"/>
      <c r="E704" s="235"/>
    </row>
    <row r="705" ht="22.5" customHeight="1">
      <c r="A705" s="233"/>
      <c r="B705" s="227"/>
      <c r="C705" s="227"/>
      <c r="D705" s="226"/>
      <c r="E705" s="235"/>
    </row>
    <row r="706" ht="22.5" customHeight="1">
      <c r="A706" s="233"/>
      <c r="B706" s="227"/>
      <c r="C706" s="227"/>
      <c r="D706" s="226"/>
      <c r="E706" s="235"/>
    </row>
    <row r="707" ht="22.5" customHeight="1">
      <c r="A707" s="233"/>
      <c r="B707" s="227"/>
      <c r="C707" s="227"/>
      <c r="D707" s="226"/>
      <c r="E707" s="235"/>
    </row>
    <row r="708" ht="22.5" customHeight="1">
      <c r="A708" s="233"/>
      <c r="B708" s="227"/>
      <c r="C708" s="227"/>
      <c r="D708" s="226"/>
      <c r="E708" s="235"/>
    </row>
    <row r="709" ht="22.5" customHeight="1">
      <c r="A709" s="233"/>
      <c r="B709" s="227"/>
      <c r="C709" s="227"/>
      <c r="D709" s="226"/>
      <c r="E709" s="235"/>
    </row>
    <row r="710" ht="22.5" customHeight="1">
      <c r="A710" s="233"/>
      <c r="B710" s="227"/>
      <c r="C710" s="227"/>
      <c r="D710" s="226"/>
      <c r="E710" s="235"/>
    </row>
    <row r="711" ht="22.5" customHeight="1">
      <c r="A711" s="233"/>
      <c r="B711" s="227"/>
      <c r="C711" s="227"/>
      <c r="D711" s="226"/>
      <c r="E711" s="235"/>
    </row>
    <row r="712" ht="22.5" customHeight="1">
      <c r="A712" s="233"/>
      <c r="B712" s="227"/>
      <c r="C712" s="227"/>
      <c r="D712" s="226"/>
      <c r="E712" s="235"/>
    </row>
    <row r="713" ht="22.5" customHeight="1">
      <c r="A713" s="233"/>
      <c r="B713" s="227"/>
      <c r="C713" s="227"/>
      <c r="D713" s="226"/>
      <c r="E713" s="235"/>
    </row>
    <row r="714" ht="22.5" customHeight="1">
      <c r="A714" s="233"/>
      <c r="B714" s="227"/>
      <c r="C714" s="227"/>
      <c r="D714" s="226"/>
      <c r="E714" s="235"/>
    </row>
    <row r="715" ht="22.5" customHeight="1">
      <c r="A715" s="233"/>
      <c r="B715" s="227"/>
      <c r="C715" s="227"/>
      <c r="D715" s="226"/>
      <c r="E715" s="235"/>
    </row>
    <row r="716" ht="22.5" customHeight="1">
      <c r="A716" s="233"/>
      <c r="B716" s="227"/>
      <c r="C716" s="227"/>
      <c r="D716" s="226"/>
      <c r="E716" s="235"/>
    </row>
    <row r="717" ht="22.5" customHeight="1">
      <c r="A717" s="233"/>
      <c r="B717" s="227"/>
      <c r="C717" s="227"/>
      <c r="D717" s="226"/>
      <c r="E717" s="235"/>
    </row>
    <row r="718" ht="22.5" customHeight="1">
      <c r="A718" s="233"/>
      <c r="B718" s="227"/>
      <c r="C718" s="227"/>
      <c r="D718" s="226"/>
      <c r="E718" s="235"/>
    </row>
    <row r="719" ht="22.5" customHeight="1">
      <c r="A719" s="233"/>
      <c r="B719" s="227"/>
      <c r="C719" s="227"/>
      <c r="D719" s="226"/>
      <c r="E719" s="235"/>
    </row>
    <row r="720" ht="22.5" customHeight="1">
      <c r="A720" s="233"/>
      <c r="B720" s="227"/>
      <c r="C720" s="227"/>
      <c r="D720" s="226"/>
      <c r="E720" s="235"/>
    </row>
    <row r="721" ht="22.5" customHeight="1">
      <c r="A721" s="233"/>
      <c r="B721" s="227"/>
      <c r="C721" s="227"/>
      <c r="D721" s="226"/>
      <c r="E721" s="235"/>
    </row>
    <row r="722" ht="22.5" customHeight="1">
      <c r="A722" s="233"/>
      <c r="B722" s="227"/>
      <c r="C722" s="227"/>
      <c r="D722" s="226"/>
      <c r="E722" s="235"/>
    </row>
    <row r="723" ht="22.5" customHeight="1">
      <c r="A723" s="233"/>
      <c r="B723" s="227"/>
      <c r="C723" s="227"/>
      <c r="D723" s="226"/>
      <c r="E723" s="235"/>
    </row>
    <row r="724" ht="22.5" customHeight="1">
      <c r="A724" s="233"/>
      <c r="B724" s="227"/>
      <c r="C724" s="227"/>
      <c r="D724" s="226"/>
      <c r="E724" s="235"/>
    </row>
    <row r="725" ht="22.5" customHeight="1">
      <c r="A725" s="233"/>
      <c r="B725" s="227"/>
      <c r="C725" s="227"/>
      <c r="D725" s="226"/>
      <c r="E725" s="235"/>
    </row>
    <row r="726" ht="22.5" customHeight="1">
      <c r="A726" s="233"/>
      <c r="B726" s="227"/>
      <c r="C726" s="227"/>
      <c r="D726" s="226"/>
      <c r="E726" s="235"/>
    </row>
    <row r="727" ht="22.5" customHeight="1">
      <c r="A727" s="233"/>
      <c r="B727" s="227"/>
      <c r="C727" s="227"/>
      <c r="D727" s="226"/>
      <c r="E727" s="235"/>
    </row>
    <row r="728" ht="22.5" customHeight="1">
      <c r="A728" s="233"/>
      <c r="B728" s="227"/>
      <c r="C728" s="227"/>
      <c r="D728" s="226"/>
      <c r="E728" s="235"/>
    </row>
    <row r="729" ht="22.5" customHeight="1">
      <c r="A729" s="233"/>
      <c r="B729" s="227"/>
      <c r="C729" s="227"/>
      <c r="D729" s="226"/>
      <c r="E729" s="235"/>
    </row>
    <row r="730" ht="22.5" customHeight="1">
      <c r="A730" s="233"/>
      <c r="B730" s="227"/>
      <c r="C730" s="227"/>
      <c r="D730" s="226"/>
      <c r="E730" s="235"/>
    </row>
    <row r="731" ht="22.5" customHeight="1">
      <c r="A731" s="233"/>
      <c r="B731" s="227"/>
      <c r="C731" s="227"/>
      <c r="D731" s="226"/>
      <c r="E731" s="235"/>
    </row>
    <row r="732" ht="22.5" customHeight="1">
      <c r="A732" s="233"/>
      <c r="B732" s="227"/>
      <c r="C732" s="227"/>
      <c r="D732" s="226"/>
      <c r="E732" s="235"/>
    </row>
    <row r="733" ht="22.5" customHeight="1">
      <c r="A733" s="233"/>
      <c r="B733" s="227"/>
      <c r="C733" s="227"/>
      <c r="D733" s="226"/>
      <c r="E733" s="235"/>
    </row>
    <row r="734" ht="22.5" customHeight="1">
      <c r="A734" s="233"/>
      <c r="B734" s="227"/>
      <c r="C734" s="227"/>
      <c r="D734" s="226"/>
      <c r="E734" s="235"/>
    </row>
    <row r="735" ht="22.5" customHeight="1">
      <c r="A735" s="233"/>
      <c r="B735" s="227"/>
      <c r="C735" s="227"/>
      <c r="D735" s="226"/>
      <c r="E735" s="235"/>
    </row>
    <row r="736" ht="22.5" customHeight="1">
      <c r="A736" s="233"/>
      <c r="B736" s="227"/>
      <c r="C736" s="227"/>
      <c r="D736" s="226"/>
      <c r="E736" s="235"/>
    </row>
    <row r="737" ht="22.5" customHeight="1">
      <c r="A737" s="233"/>
      <c r="B737" s="227"/>
      <c r="C737" s="227"/>
      <c r="D737" s="226"/>
      <c r="E737" s="235"/>
    </row>
    <row r="738" ht="22.5" customHeight="1">
      <c r="A738" s="233"/>
      <c r="B738" s="227"/>
      <c r="C738" s="227"/>
      <c r="D738" s="226"/>
      <c r="E738" s="235"/>
    </row>
    <row r="739" ht="22.5" customHeight="1">
      <c r="A739" s="233"/>
      <c r="B739" s="227"/>
      <c r="C739" s="227"/>
      <c r="D739" s="226"/>
      <c r="E739" s="235"/>
    </row>
    <row r="740" ht="22.5" customHeight="1">
      <c r="A740" s="233"/>
      <c r="B740" s="227"/>
      <c r="C740" s="227"/>
      <c r="D740" s="226"/>
      <c r="E740" s="235"/>
    </row>
    <row r="741" ht="22.5" customHeight="1">
      <c r="A741" s="233"/>
      <c r="B741" s="227"/>
      <c r="C741" s="227"/>
      <c r="D741" s="226"/>
      <c r="E741" s="235"/>
    </row>
    <row r="742" ht="22.5" customHeight="1">
      <c r="A742" s="233"/>
      <c r="B742" s="227"/>
      <c r="C742" s="227"/>
      <c r="D742" s="226"/>
      <c r="E742" s="235"/>
    </row>
    <row r="743" ht="22.5" customHeight="1">
      <c r="A743" s="233"/>
      <c r="B743" s="227"/>
      <c r="C743" s="227"/>
      <c r="D743" s="226"/>
      <c r="E743" s="235"/>
    </row>
    <row r="744" ht="22.5" customHeight="1">
      <c r="A744" s="233"/>
      <c r="B744" s="227"/>
      <c r="C744" s="227"/>
      <c r="D744" s="226"/>
      <c r="E744" s="235"/>
    </row>
    <row r="745" ht="22.5" customHeight="1">
      <c r="A745" s="233"/>
      <c r="B745" s="227"/>
      <c r="C745" s="227"/>
      <c r="D745" s="226"/>
      <c r="E745" s="235"/>
    </row>
    <row r="746" ht="22.5" customHeight="1">
      <c r="A746" s="233"/>
      <c r="B746" s="227"/>
      <c r="C746" s="227"/>
      <c r="D746" s="226"/>
      <c r="E746" s="235"/>
    </row>
    <row r="747" ht="22.5" customHeight="1">
      <c r="A747" s="233"/>
      <c r="B747" s="227"/>
      <c r="C747" s="227"/>
      <c r="D747" s="226"/>
      <c r="E747" s="235"/>
    </row>
    <row r="748" ht="22.5" customHeight="1">
      <c r="A748" s="233"/>
      <c r="B748" s="227"/>
      <c r="C748" s="227"/>
      <c r="D748" s="226"/>
      <c r="E748" s="235"/>
    </row>
    <row r="749" ht="22.5" customHeight="1">
      <c r="A749" s="233"/>
      <c r="B749" s="227"/>
      <c r="C749" s="227"/>
      <c r="D749" s="226"/>
      <c r="E749" s="235"/>
    </row>
    <row r="750" ht="22.5" customHeight="1">
      <c r="A750" s="233"/>
      <c r="B750" s="227"/>
      <c r="C750" s="227"/>
      <c r="D750" s="226"/>
      <c r="E750" s="235"/>
    </row>
    <row r="751" ht="22.5" customHeight="1">
      <c r="A751" s="233"/>
      <c r="B751" s="227"/>
      <c r="C751" s="227"/>
      <c r="D751" s="226"/>
      <c r="E751" s="235"/>
    </row>
    <row r="752" ht="22.5" customHeight="1">
      <c r="A752" s="233"/>
      <c r="B752" s="227"/>
      <c r="C752" s="227"/>
      <c r="D752" s="226"/>
      <c r="E752" s="235"/>
    </row>
    <row r="753" ht="22.5" customHeight="1">
      <c r="A753" s="233"/>
      <c r="B753" s="227"/>
      <c r="C753" s="227"/>
      <c r="D753" s="226"/>
      <c r="E753" s="235"/>
    </row>
    <row r="754" ht="22.5" customHeight="1">
      <c r="A754" s="233"/>
      <c r="B754" s="227"/>
      <c r="C754" s="227"/>
      <c r="D754" s="226"/>
      <c r="E754" s="235"/>
    </row>
    <row r="755" ht="22.5" customHeight="1">
      <c r="A755" s="233"/>
      <c r="B755" s="227"/>
      <c r="C755" s="227"/>
      <c r="D755" s="226"/>
      <c r="E755" s="235"/>
    </row>
    <row r="756" ht="22.5" customHeight="1">
      <c r="A756" s="233"/>
      <c r="B756" s="227"/>
      <c r="C756" s="227"/>
      <c r="D756" s="226"/>
      <c r="E756" s="235"/>
    </row>
    <row r="757" ht="22.5" customHeight="1">
      <c r="A757" s="233"/>
      <c r="B757" s="227"/>
      <c r="C757" s="227"/>
      <c r="D757" s="226"/>
      <c r="E757" s="235"/>
    </row>
    <row r="758" ht="22.5" customHeight="1">
      <c r="A758" s="233"/>
      <c r="B758" s="227"/>
      <c r="C758" s="227"/>
      <c r="D758" s="226"/>
      <c r="E758" s="235"/>
    </row>
    <row r="759" ht="22.5" customHeight="1">
      <c r="A759" s="233"/>
      <c r="B759" s="227"/>
      <c r="C759" s="227"/>
      <c r="D759" s="226"/>
      <c r="E759" s="235"/>
    </row>
    <row r="760" ht="22.5" customHeight="1">
      <c r="A760" s="233"/>
      <c r="B760" s="227"/>
      <c r="C760" s="227"/>
      <c r="D760" s="226"/>
      <c r="E760" s="235"/>
    </row>
    <row r="761" ht="22.5" customHeight="1">
      <c r="A761" s="233"/>
      <c r="B761" s="227"/>
      <c r="C761" s="227"/>
      <c r="D761" s="226"/>
      <c r="E761" s="235"/>
    </row>
    <row r="762" ht="22.5" customHeight="1">
      <c r="A762" s="233"/>
      <c r="B762" s="227"/>
      <c r="C762" s="227"/>
      <c r="D762" s="226"/>
      <c r="E762" s="235"/>
    </row>
    <row r="763" ht="22.5" customHeight="1">
      <c r="A763" s="233"/>
      <c r="B763" s="227"/>
      <c r="C763" s="227"/>
      <c r="D763" s="226"/>
      <c r="E763" s="235"/>
    </row>
    <row r="764" ht="22.5" customHeight="1">
      <c r="A764" s="233"/>
      <c r="B764" s="227"/>
      <c r="C764" s="227"/>
      <c r="D764" s="226"/>
      <c r="E764" s="235"/>
    </row>
    <row r="765" ht="22.5" customHeight="1">
      <c r="A765" s="233"/>
      <c r="B765" s="227"/>
      <c r="C765" s="227"/>
      <c r="D765" s="226"/>
      <c r="E765" s="235"/>
    </row>
    <row r="766" ht="22.5" customHeight="1">
      <c r="A766" s="233"/>
      <c r="B766" s="227"/>
      <c r="C766" s="227"/>
      <c r="D766" s="226"/>
      <c r="E766" s="235"/>
    </row>
    <row r="767" ht="22.5" customHeight="1">
      <c r="A767" s="233"/>
      <c r="B767" s="227"/>
      <c r="C767" s="227"/>
      <c r="D767" s="226"/>
      <c r="E767" s="235"/>
    </row>
    <row r="768" ht="22.5" customHeight="1">
      <c r="A768" s="233"/>
      <c r="B768" s="227"/>
      <c r="C768" s="227"/>
      <c r="D768" s="226"/>
      <c r="E768" s="235"/>
    </row>
    <row r="769" ht="22.5" customHeight="1">
      <c r="A769" s="233"/>
      <c r="B769" s="227"/>
      <c r="C769" s="227"/>
      <c r="D769" s="226"/>
      <c r="E769" s="235"/>
    </row>
    <row r="770" ht="22.5" customHeight="1">
      <c r="A770" s="233"/>
      <c r="B770" s="227"/>
      <c r="C770" s="227"/>
      <c r="D770" s="226"/>
      <c r="E770" s="235"/>
    </row>
    <row r="771" ht="22.5" customHeight="1">
      <c r="A771" s="233"/>
      <c r="B771" s="227"/>
      <c r="C771" s="227"/>
      <c r="D771" s="226"/>
      <c r="E771" s="235"/>
    </row>
    <row r="772" ht="22.5" customHeight="1">
      <c r="A772" s="233"/>
      <c r="B772" s="227"/>
      <c r="C772" s="227"/>
      <c r="D772" s="226"/>
      <c r="E772" s="235"/>
    </row>
    <row r="773" ht="22.5" customHeight="1">
      <c r="A773" s="233"/>
      <c r="B773" s="227"/>
      <c r="C773" s="227"/>
      <c r="D773" s="226"/>
      <c r="E773" s="235"/>
    </row>
    <row r="774" ht="22.5" customHeight="1">
      <c r="A774" s="233"/>
      <c r="B774" s="227"/>
      <c r="C774" s="227"/>
      <c r="D774" s="226"/>
      <c r="E774" s="235"/>
    </row>
    <row r="775" ht="22.5" customHeight="1">
      <c r="A775" s="233"/>
      <c r="B775" s="227"/>
      <c r="C775" s="227"/>
      <c r="D775" s="226"/>
      <c r="E775" s="235"/>
    </row>
    <row r="776" ht="22.5" customHeight="1">
      <c r="A776" s="233"/>
      <c r="B776" s="227"/>
      <c r="C776" s="227"/>
      <c r="D776" s="226"/>
      <c r="E776" s="235"/>
    </row>
    <row r="777" ht="22.5" customHeight="1">
      <c r="A777" s="233"/>
      <c r="B777" s="227"/>
      <c r="C777" s="227"/>
      <c r="D777" s="226"/>
      <c r="E777" s="235"/>
    </row>
    <row r="778" ht="22.5" customHeight="1">
      <c r="A778" s="233"/>
      <c r="B778" s="227"/>
      <c r="C778" s="227"/>
      <c r="D778" s="226"/>
      <c r="E778" s="235"/>
    </row>
    <row r="779" ht="22.5" customHeight="1">
      <c r="A779" s="233"/>
      <c r="B779" s="227"/>
      <c r="C779" s="227"/>
      <c r="D779" s="226"/>
      <c r="E779" s="235"/>
    </row>
    <row r="780" ht="22.5" customHeight="1">
      <c r="A780" s="233"/>
      <c r="B780" s="227"/>
      <c r="C780" s="227"/>
      <c r="D780" s="226"/>
      <c r="E780" s="235"/>
    </row>
    <row r="781" ht="22.5" customHeight="1">
      <c r="A781" s="233"/>
      <c r="B781" s="227"/>
      <c r="C781" s="227"/>
      <c r="D781" s="226"/>
      <c r="E781" s="235"/>
    </row>
    <row r="782" ht="22.5" customHeight="1">
      <c r="A782" s="233"/>
      <c r="B782" s="227"/>
      <c r="C782" s="227"/>
      <c r="D782" s="226"/>
      <c r="E782" s="235"/>
    </row>
    <row r="783" ht="22.5" customHeight="1">
      <c r="A783" s="233"/>
      <c r="B783" s="227"/>
      <c r="C783" s="227"/>
      <c r="D783" s="226"/>
      <c r="E783" s="235"/>
    </row>
    <row r="784" ht="22.5" customHeight="1">
      <c r="A784" s="233"/>
      <c r="B784" s="227"/>
      <c r="C784" s="227"/>
      <c r="D784" s="226"/>
      <c r="E784" s="235"/>
    </row>
    <row r="785" ht="22.5" customHeight="1">
      <c r="A785" s="233"/>
      <c r="B785" s="227"/>
      <c r="C785" s="227"/>
      <c r="D785" s="226"/>
      <c r="E785" s="235"/>
    </row>
    <row r="786" ht="22.5" customHeight="1">
      <c r="A786" s="233"/>
      <c r="B786" s="227"/>
      <c r="C786" s="227"/>
      <c r="D786" s="226"/>
      <c r="E786" s="235"/>
    </row>
    <row r="787" ht="22.5" customHeight="1">
      <c r="A787" s="233"/>
      <c r="B787" s="227"/>
      <c r="C787" s="227"/>
      <c r="D787" s="226"/>
      <c r="E787" s="235"/>
    </row>
    <row r="788" ht="22.5" customHeight="1">
      <c r="A788" s="233"/>
      <c r="B788" s="227"/>
      <c r="C788" s="227"/>
      <c r="D788" s="226"/>
      <c r="E788" s="235"/>
    </row>
    <row r="789" ht="22.5" customHeight="1">
      <c r="A789" s="233"/>
      <c r="B789" s="227"/>
      <c r="C789" s="227"/>
      <c r="D789" s="226"/>
      <c r="E789" s="235"/>
    </row>
    <row r="790" ht="22.5" customHeight="1">
      <c r="A790" s="233"/>
      <c r="B790" s="227"/>
      <c r="C790" s="227"/>
      <c r="D790" s="226"/>
      <c r="E790" s="235"/>
    </row>
    <row r="791" ht="22.5" customHeight="1">
      <c r="A791" s="233"/>
      <c r="B791" s="227"/>
      <c r="C791" s="227"/>
      <c r="D791" s="226"/>
      <c r="E791" s="235"/>
    </row>
    <row r="792" ht="22.5" customHeight="1">
      <c r="A792" s="233"/>
      <c r="B792" s="227"/>
      <c r="C792" s="227"/>
      <c r="D792" s="226"/>
      <c r="E792" s="235"/>
    </row>
    <row r="793" ht="22.5" customHeight="1">
      <c r="A793" s="233"/>
      <c r="B793" s="227"/>
      <c r="C793" s="227"/>
      <c r="D793" s="226"/>
      <c r="E793" s="235"/>
    </row>
    <row r="794" ht="22.5" customHeight="1">
      <c r="A794" s="233"/>
      <c r="B794" s="227"/>
      <c r="C794" s="227"/>
      <c r="D794" s="226"/>
      <c r="E794" s="235"/>
    </row>
    <row r="795" ht="22.5" customHeight="1">
      <c r="A795" s="233"/>
      <c r="B795" s="227"/>
      <c r="C795" s="227"/>
      <c r="D795" s="226"/>
      <c r="E795" s="235"/>
    </row>
    <row r="796" ht="22.5" customHeight="1">
      <c r="A796" s="233"/>
      <c r="B796" s="227"/>
      <c r="C796" s="227"/>
      <c r="D796" s="226"/>
      <c r="E796" s="235"/>
    </row>
    <row r="797" ht="22.5" customHeight="1">
      <c r="A797" s="233"/>
      <c r="B797" s="227"/>
      <c r="C797" s="227"/>
      <c r="D797" s="226"/>
      <c r="E797" s="235"/>
    </row>
    <row r="798" ht="22.5" customHeight="1">
      <c r="A798" s="233"/>
      <c r="B798" s="227"/>
      <c r="C798" s="227"/>
      <c r="D798" s="226"/>
      <c r="E798" s="235"/>
    </row>
    <row r="799" ht="22.5" customHeight="1">
      <c r="A799" s="233"/>
      <c r="B799" s="227"/>
      <c r="C799" s="227"/>
      <c r="D799" s="226"/>
      <c r="E799" s="235"/>
    </row>
    <row r="800" ht="22.5" customHeight="1">
      <c r="A800" s="233"/>
      <c r="B800" s="227"/>
      <c r="C800" s="227"/>
      <c r="D800" s="226"/>
      <c r="E800" s="235"/>
    </row>
    <row r="801" ht="22.5" customHeight="1">
      <c r="A801" s="233"/>
      <c r="B801" s="227"/>
      <c r="C801" s="227"/>
      <c r="D801" s="226"/>
      <c r="E801" s="235"/>
    </row>
    <row r="802" ht="22.5" customHeight="1">
      <c r="A802" s="233"/>
      <c r="B802" s="227"/>
      <c r="C802" s="227"/>
      <c r="D802" s="226"/>
      <c r="E802" s="235"/>
    </row>
    <row r="803" ht="22.5" customHeight="1">
      <c r="A803" s="233"/>
      <c r="B803" s="227"/>
      <c r="C803" s="227"/>
      <c r="D803" s="226"/>
      <c r="E803" s="235"/>
    </row>
    <row r="804" ht="22.5" customHeight="1">
      <c r="A804" s="233"/>
      <c r="B804" s="227"/>
      <c r="C804" s="227"/>
      <c r="D804" s="226"/>
      <c r="E804" s="235"/>
    </row>
    <row r="805" ht="22.5" customHeight="1">
      <c r="A805" s="233"/>
      <c r="B805" s="227"/>
      <c r="C805" s="227"/>
      <c r="D805" s="226"/>
      <c r="E805" s="235"/>
    </row>
    <row r="806" ht="22.5" customHeight="1">
      <c r="A806" s="233"/>
      <c r="B806" s="227"/>
      <c r="C806" s="227"/>
      <c r="D806" s="226"/>
      <c r="E806" s="235"/>
    </row>
    <row r="807" ht="22.5" customHeight="1">
      <c r="A807" s="233"/>
      <c r="B807" s="227"/>
      <c r="C807" s="227"/>
      <c r="D807" s="226"/>
      <c r="E807" s="235"/>
    </row>
    <row r="808" ht="22.5" customHeight="1">
      <c r="A808" s="233"/>
      <c r="B808" s="227"/>
      <c r="C808" s="227"/>
      <c r="D808" s="226"/>
      <c r="E808" s="235"/>
    </row>
    <row r="809" ht="22.5" customHeight="1">
      <c r="A809" s="233"/>
      <c r="B809" s="227"/>
      <c r="C809" s="227"/>
      <c r="D809" s="226"/>
      <c r="E809" s="235"/>
    </row>
    <row r="810" ht="22.5" customHeight="1">
      <c r="A810" s="233"/>
      <c r="B810" s="227"/>
      <c r="C810" s="227"/>
      <c r="D810" s="226"/>
      <c r="E810" s="235"/>
    </row>
    <row r="811" ht="22.5" customHeight="1">
      <c r="A811" s="233"/>
      <c r="B811" s="227"/>
      <c r="C811" s="227"/>
      <c r="D811" s="226"/>
      <c r="E811" s="235"/>
    </row>
    <row r="812" ht="22.5" customHeight="1">
      <c r="A812" s="233"/>
      <c r="B812" s="227"/>
      <c r="C812" s="227"/>
      <c r="D812" s="226"/>
      <c r="E812" s="235"/>
    </row>
    <row r="813" ht="22.5" customHeight="1">
      <c r="A813" s="233"/>
      <c r="B813" s="227"/>
      <c r="C813" s="227"/>
      <c r="D813" s="226"/>
      <c r="E813" s="235"/>
    </row>
    <row r="814" ht="22.5" customHeight="1">
      <c r="A814" s="233"/>
      <c r="B814" s="227"/>
      <c r="C814" s="227"/>
      <c r="D814" s="226"/>
      <c r="E814" s="235"/>
    </row>
    <row r="815" ht="22.5" customHeight="1">
      <c r="A815" s="233"/>
      <c r="B815" s="227"/>
      <c r="C815" s="227"/>
      <c r="D815" s="226"/>
      <c r="E815" s="235"/>
    </row>
    <row r="816" ht="22.5" customHeight="1">
      <c r="A816" s="233"/>
      <c r="B816" s="227"/>
      <c r="C816" s="227"/>
      <c r="D816" s="226"/>
      <c r="E816" s="235"/>
    </row>
    <row r="817" ht="22.5" customHeight="1">
      <c r="A817" s="233"/>
      <c r="B817" s="227"/>
      <c r="C817" s="227"/>
      <c r="D817" s="226"/>
      <c r="E817" s="235"/>
    </row>
    <row r="818" ht="22.5" customHeight="1">
      <c r="A818" s="233"/>
      <c r="B818" s="227"/>
      <c r="C818" s="227"/>
      <c r="D818" s="226"/>
      <c r="E818" s="235"/>
    </row>
    <row r="819" ht="22.5" customHeight="1">
      <c r="A819" s="233"/>
      <c r="B819" s="227"/>
      <c r="C819" s="227"/>
      <c r="D819" s="226"/>
      <c r="E819" s="235"/>
    </row>
    <row r="820" ht="22.5" customHeight="1">
      <c r="A820" s="233"/>
      <c r="B820" s="227"/>
      <c r="C820" s="227"/>
      <c r="D820" s="226"/>
      <c r="E820" s="235"/>
    </row>
    <row r="821" ht="22.5" customHeight="1">
      <c r="A821" s="233"/>
      <c r="B821" s="227"/>
      <c r="C821" s="227"/>
      <c r="D821" s="226"/>
      <c r="E821" s="235"/>
    </row>
    <row r="822" ht="22.5" customHeight="1">
      <c r="A822" s="233"/>
      <c r="B822" s="227"/>
      <c r="C822" s="227"/>
      <c r="D822" s="226"/>
      <c r="E822" s="235"/>
    </row>
    <row r="823" ht="22.5" customHeight="1">
      <c r="A823" s="233"/>
      <c r="B823" s="227"/>
      <c r="C823" s="227"/>
      <c r="D823" s="226"/>
      <c r="E823" s="235"/>
    </row>
    <row r="824" ht="22.5" customHeight="1">
      <c r="A824" s="233"/>
      <c r="B824" s="227"/>
      <c r="C824" s="227"/>
      <c r="D824" s="226"/>
      <c r="E824" s="235"/>
    </row>
    <row r="825" ht="22.5" customHeight="1">
      <c r="A825" s="233"/>
      <c r="B825" s="227"/>
      <c r="C825" s="227"/>
      <c r="D825" s="226"/>
      <c r="E825" s="235"/>
    </row>
    <row r="826" ht="22.5" customHeight="1">
      <c r="A826" s="233"/>
      <c r="B826" s="227"/>
      <c r="C826" s="227"/>
      <c r="D826" s="226"/>
      <c r="E826" s="235"/>
    </row>
    <row r="827" ht="22.5" customHeight="1">
      <c r="A827" s="233"/>
      <c r="B827" s="227"/>
      <c r="C827" s="227"/>
      <c r="D827" s="226"/>
      <c r="E827" s="235"/>
    </row>
    <row r="828" ht="22.5" customHeight="1">
      <c r="A828" s="233"/>
      <c r="B828" s="227"/>
      <c r="C828" s="227"/>
      <c r="D828" s="226"/>
      <c r="E828" s="235"/>
    </row>
    <row r="829" ht="22.5" customHeight="1">
      <c r="A829" s="233"/>
      <c r="B829" s="227"/>
      <c r="C829" s="227"/>
      <c r="D829" s="226"/>
      <c r="E829" s="235"/>
    </row>
    <row r="830" ht="22.5" customHeight="1">
      <c r="A830" s="233"/>
      <c r="B830" s="227"/>
      <c r="C830" s="227"/>
      <c r="D830" s="226"/>
      <c r="E830" s="235"/>
    </row>
    <row r="831" ht="22.5" customHeight="1">
      <c r="A831" s="233"/>
      <c r="B831" s="227"/>
      <c r="C831" s="227"/>
      <c r="D831" s="226"/>
      <c r="E831" s="235"/>
    </row>
    <row r="832" ht="22.5" customHeight="1">
      <c r="A832" s="233"/>
      <c r="B832" s="227"/>
      <c r="C832" s="227"/>
      <c r="D832" s="226"/>
      <c r="E832" s="235"/>
    </row>
    <row r="833" ht="22.5" customHeight="1">
      <c r="A833" s="233"/>
      <c r="B833" s="227"/>
      <c r="C833" s="227"/>
      <c r="D833" s="226"/>
      <c r="E833" s="235"/>
    </row>
    <row r="834" ht="22.5" customHeight="1">
      <c r="A834" s="233"/>
      <c r="B834" s="227"/>
      <c r="C834" s="227"/>
      <c r="D834" s="226"/>
      <c r="E834" s="235"/>
    </row>
    <row r="835" ht="22.5" customHeight="1">
      <c r="A835" s="233"/>
      <c r="B835" s="227"/>
      <c r="C835" s="227"/>
      <c r="D835" s="226"/>
      <c r="E835" s="235"/>
    </row>
    <row r="836" ht="22.5" customHeight="1">
      <c r="A836" s="233"/>
      <c r="B836" s="227"/>
      <c r="C836" s="227"/>
      <c r="D836" s="226"/>
      <c r="E836" s="235"/>
    </row>
    <row r="837" ht="22.5" customHeight="1">
      <c r="A837" s="233"/>
      <c r="B837" s="227"/>
      <c r="C837" s="227"/>
      <c r="D837" s="226"/>
      <c r="E837" s="235"/>
    </row>
    <row r="838" ht="22.5" customHeight="1">
      <c r="A838" s="233"/>
      <c r="B838" s="227"/>
      <c r="C838" s="227"/>
      <c r="D838" s="226"/>
      <c r="E838" s="235"/>
    </row>
    <row r="839" ht="22.5" customHeight="1">
      <c r="A839" s="233"/>
      <c r="B839" s="227"/>
      <c r="C839" s="227"/>
      <c r="D839" s="226"/>
      <c r="E839" s="235"/>
    </row>
    <row r="840" ht="22.5" customHeight="1">
      <c r="A840" s="233"/>
      <c r="B840" s="227"/>
      <c r="C840" s="227"/>
      <c r="D840" s="226"/>
      <c r="E840" s="235"/>
    </row>
    <row r="841" ht="22.5" customHeight="1">
      <c r="A841" s="233"/>
      <c r="B841" s="227"/>
      <c r="C841" s="227"/>
      <c r="D841" s="226"/>
      <c r="E841" s="235"/>
    </row>
    <row r="842" ht="22.5" customHeight="1">
      <c r="A842" s="233"/>
      <c r="B842" s="227"/>
      <c r="C842" s="227"/>
      <c r="D842" s="226"/>
      <c r="E842" s="235"/>
    </row>
    <row r="843" ht="22.5" customHeight="1">
      <c r="A843" s="233"/>
      <c r="B843" s="227"/>
      <c r="C843" s="227"/>
      <c r="D843" s="226"/>
      <c r="E843" s="235"/>
    </row>
    <row r="844" ht="22.5" customHeight="1">
      <c r="A844" s="233"/>
      <c r="B844" s="227"/>
      <c r="C844" s="227"/>
      <c r="D844" s="226"/>
      <c r="E844" s="235"/>
    </row>
    <row r="845" ht="22.5" customHeight="1">
      <c r="A845" s="233"/>
      <c r="B845" s="227"/>
      <c r="C845" s="227"/>
      <c r="D845" s="226"/>
      <c r="E845" s="235"/>
    </row>
    <row r="846" ht="22.5" customHeight="1">
      <c r="A846" s="233"/>
      <c r="B846" s="227"/>
      <c r="C846" s="227"/>
      <c r="D846" s="226"/>
      <c r="E846" s="235"/>
    </row>
    <row r="847" ht="22.5" customHeight="1">
      <c r="A847" s="233"/>
      <c r="B847" s="227"/>
      <c r="C847" s="227"/>
      <c r="D847" s="226"/>
      <c r="E847" s="235"/>
    </row>
    <row r="848" ht="22.5" customHeight="1">
      <c r="A848" s="233"/>
      <c r="B848" s="227"/>
      <c r="C848" s="227"/>
      <c r="D848" s="226"/>
      <c r="E848" s="235"/>
    </row>
    <row r="849" ht="22.5" customHeight="1">
      <c r="A849" s="233"/>
      <c r="B849" s="227"/>
      <c r="C849" s="227"/>
      <c r="D849" s="226"/>
      <c r="E849" s="235"/>
    </row>
    <row r="850" ht="22.5" customHeight="1">
      <c r="A850" s="233"/>
      <c r="B850" s="227"/>
      <c r="C850" s="227"/>
      <c r="D850" s="226"/>
      <c r="E850" s="235"/>
    </row>
    <row r="851" ht="22.5" customHeight="1">
      <c r="A851" s="233"/>
      <c r="B851" s="227"/>
      <c r="C851" s="227"/>
      <c r="D851" s="226"/>
      <c r="E851" s="235"/>
    </row>
    <row r="852" ht="22.5" customHeight="1">
      <c r="A852" s="233"/>
      <c r="B852" s="227"/>
      <c r="C852" s="227"/>
      <c r="D852" s="226"/>
      <c r="E852" s="235"/>
    </row>
    <row r="853" ht="22.5" customHeight="1">
      <c r="A853" s="233"/>
      <c r="B853" s="227"/>
      <c r="C853" s="227"/>
      <c r="D853" s="226"/>
      <c r="E853" s="235"/>
    </row>
    <row r="854" ht="22.5" customHeight="1">
      <c r="A854" s="233"/>
      <c r="B854" s="227"/>
      <c r="C854" s="227"/>
      <c r="D854" s="226"/>
      <c r="E854" s="235"/>
    </row>
    <row r="855" ht="22.5" customHeight="1">
      <c r="A855" s="233"/>
      <c r="B855" s="227"/>
      <c r="C855" s="227"/>
      <c r="D855" s="226"/>
      <c r="E855" s="235"/>
    </row>
    <row r="856" ht="22.5" customHeight="1">
      <c r="A856" s="233"/>
      <c r="B856" s="227"/>
      <c r="C856" s="227"/>
      <c r="D856" s="226"/>
      <c r="E856" s="235"/>
    </row>
    <row r="857" ht="22.5" customHeight="1">
      <c r="A857" s="233"/>
      <c r="B857" s="227"/>
      <c r="C857" s="227"/>
      <c r="D857" s="226"/>
      <c r="E857" s="235"/>
    </row>
    <row r="858" ht="22.5" customHeight="1">
      <c r="A858" s="233"/>
      <c r="B858" s="227"/>
      <c r="C858" s="227"/>
      <c r="D858" s="226"/>
      <c r="E858" s="235"/>
    </row>
    <row r="859" ht="22.5" customHeight="1">
      <c r="A859" s="233"/>
      <c r="B859" s="227"/>
      <c r="C859" s="227"/>
      <c r="D859" s="226"/>
      <c r="E859" s="235"/>
    </row>
    <row r="860" ht="22.5" customHeight="1">
      <c r="A860" s="233"/>
      <c r="B860" s="227"/>
      <c r="C860" s="227"/>
      <c r="D860" s="226"/>
      <c r="E860" s="235"/>
    </row>
    <row r="861" ht="22.5" customHeight="1">
      <c r="A861" s="233"/>
      <c r="B861" s="227"/>
      <c r="C861" s="227"/>
      <c r="D861" s="226"/>
      <c r="E861" s="235"/>
    </row>
    <row r="862" ht="22.5" customHeight="1">
      <c r="A862" s="233"/>
      <c r="B862" s="227"/>
      <c r="C862" s="227"/>
      <c r="D862" s="226"/>
      <c r="E862" s="235"/>
    </row>
    <row r="863" ht="22.5" customHeight="1">
      <c r="A863" s="233"/>
      <c r="B863" s="227"/>
      <c r="C863" s="227"/>
      <c r="D863" s="226"/>
      <c r="E863" s="235"/>
    </row>
    <row r="864" ht="22.5" customHeight="1">
      <c r="A864" s="233"/>
      <c r="B864" s="227"/>
      <c r="C864" s="227"/>
      <c r="D864" s="226"/>
      <c r="E864" s="235"/>
    </row>
    <row r="865" ht="22.5" customHeight="1">
      <c r="A865" s="233"/>
      <c r="B865" s="227"/>
      <c r="C865" s="227"/>
      <c r="D865" s="226"/>
      <c r="E865" s="235"/>
    </row>
    <row r="866" ht="22.5" customHeight="1">
      <c r="A866" s="233"/>
      <c r="B866" s="227"/>
      <c r="C866" s="227"/>
      <c r="D866" s="226"/>
      <c r="E866" s="235"/>
    </row>
    <row r="867" ht="22.5" customHeight="1">
      <c r="A867" s="233"/>
      <c r="B867" s="227"/>
      <c r="C867" s="227"/>
      <c r="D867" s="226"/>
      <c r="E867" s="235"/>
    </row>
    <row r="868" ht="22.5" customHeight="1">
      <c r="A868" s="233"/>
      <c r="B868" s="227"/>
      <c r="C868" s="227"/>
      <c r="D868" s="226"/>
      <c r="E868" s="235"/>
    </row>
    <row r="869" ht="22.5" customHeight="1">
      <c r="A869" s="233"/>
      <c r="B869" s="227"/>
      <c r="C869" s="227"/>
      <c r="D869" s="226"/>
      <c r="E869" s="235"/>
    </row>
    <row r="870" ht="22.5" customHeight="1">
      <c r="A870" s="233"/>
      <c r="B870" s="227"/>
      <c r="C870" s="227"/>
      <c r="D870" s="226"/>
      <c r="E870" s="235"/>
    </row>
    <row r="871" ht="22.5" customHeight="1">
      <c r="A871" s="233"/>
      <c r="B871" s="227"/>
      <c r="C871" s="227"/>
      <c r="D871" s="226"/>
      <c r="E871" s="235"/>
    </row>
    <row r="872" ht="22.5" customHeight="1">
      <c r="A872" s="233"/>
      <c r="B872" s="227"/>
      <c r="C872" s="227"/>
      <c r="D872" s="226"/>
      <c r="E872" s="235"/>
    </row>
    <row r="873" ht="22.5" customHeight="1">
      <c r="A873" s="233"/>
      <c r="B873" s="227"/>
      <c r="C873" s="227"/>
      <c r="D873" s="226"/>
      <c r="E873" s="235"/>
    </row>
    <row r="874" ht="22.5" customHeight="1">
      <c r="A874" s="233"/>
      <c r="B874" s="227"/>
      <c r="C874" s="227"/>
      <c r="D874" s="226"/>
      <c r="E874" s="235"/>
    </row>
    <row r="875" ht="22.5" customHeight="1">
      <c r="A875" s="233"/>
      <c r="B875" s="227"/>
      <c r="C875" s="227"/>
      <c r="D875" s="226"/>
      <c r="E875" s="235"/>
    </row>
    <row r="876" ht="22.5" customHeight="1">
      <c r="A876" s="233"/>
      <c r="B876" s="227"/>
      <c r="C876" s="227"/>
      <c r="D876" s="226"/>
      <c r="E876" s="235"/>
    </row>
    <row r="877" ht="22.5" customHeight="1">
      <c r="A877" s="233"/>
      <c r="B877" s="227"/>
      <c r="C877" s="227"/>
      <c r="D877" s="226"/>
      <c r="E877" s="235"/>
    </row>
    <row r="878" ht="22.5" customHeight="1">
      <c r="A878" s="233"/>
      <c r="B878" s="227"/>
      <c r="C878" s="227"/>
      <c r="D878" s="226"/>
      <c r="E878" s="235"/>
    </row>
    <row r="879" ht="22.5" customHeight="1">
      <c r="A879" s="233"/>
      <c r="B879" s="227"/>
      <c r="C879" s="227"/>
      <c r="D879" s="226"/>
      <c r="E879" s="235"/>
    </row>
    <row r="880" ht="22.5" customHeight="1">
      <c r="A880" s="233"/>
      <c r="B880" s="227"/>
      <c r="C880" s="227"/>
      <c r="D880" s="226"/>
      <c r="E880" s="235"/>
    </row>
    <row r="881" ht="22.5" customHeight="1">
      <c r="A881" s="233"/>
      <c r="B881" s="227"/>
      <c r="C881" s="227"/>
      <c r="D881" s="226"/>
      <c r="E881" s="235"/>
    </row>
    <row r="882" ht="22.5" customHeight="1">
      <c r="A882" s="233"/>
      <c r="B882" s="227"/>
      <c r="C882" s="227"/>
      <c r="D882" s="226"/>
      <c r="E882" s="235"/>
    </row>
    <row r="883" ht="22.5" customHeight="1">
      <c r="A883" s="233"/>
      <c r="B883" s="227"/>
      <c r="C883" s="227"/>
      <c r="D883" s="226"/>
      <c r="E883" s="235"/>
    </row>
    <row r="884" ht="22.5" customHeight="1">
      <c r="A884" s="233"/>
      <c r="B884" s="227"/>
      <c r="C884" s="227"/>
      <c r="D884" s="226"/>
      <c r="E884" s="235"/>
    </row>
    <row r="885" ht="22.5" customHeight="1">
      <c r="A885" s="233"/>
      <c r="B885" s="227"/>
      <c r="C885" s="227"/>
      <c r="D885" s="226"/>
      <c r="E885" s="235"/>
    </row>
    <row r="886" ht="22.5" customHeight="1">
      <c r="A886" s="233"/>
      <c r="B886" s="227"/>
      <c r="C886" s="227"/>
      <c r="D886" s="226"/>
      <c r="E886" s="235"/>
    </row>
    <row r="887" ht="22.5" customHeight="1">
      <c r="A887" s="233"/>
      <c r="B887" s="227"/>
      <c r="C887" s="227"/>
      <c r="D887" s="226"/>
      <c r="E887" s="235"/>
    </row>
    <row r="888" ht="22.5" customHeight="1">
      <c r="A888" s="233"/>
      <c r="B888" s="227"/>
      <c r="C888" s="227"/>
      <c r="D888" s="226"/>
      <c r="E888" s="235"/>
    </row>
    <row r="889" ht="22.5" customHeight="1">
      <c r="A889" s="233"/>
      <c r="B889" s="227"/>
      <c r="C889" s="227"/>
      <c r="D889" s="226"/>
      <c r="E889" s="235"/>
    </row>
    <row r="890" ht="22.5" customHeight="1">
      <c r="A890" s="233"/>
      <c r="B890" s="227"/>
      <c r="C890" s="227"/>
      <c r="D890" s="226"/>
      <c r="E890" s="235"/>
    </row>
    <row r="891" ht="22.5" customHeight="1">
      <c r="A891" s="233"/>
      <c r="B891" s="227"/>
      <c r="C891" s="227"/>
      <c r="D891" s="226"/>
      <c r="E891" s="235"/>
    </row>
    <row r="892" ht="22.5" customHeight="1">
      <c r="A892" s="233"/>
      <c r="B892" s="227"/>
      <c r="C892" s="227"/>
      <c r="D892" s="226"/>
      <c r="E892" s="235"/>
    </row>
    <row r="893" ht="22.5" customHeight="1">
      <c r="A893" s="233"/>
      <c r="B893" s="227"/>
      <c r="C893" s="227"/>
      <c r="D893" s="226"/>
      <c r="E893" s="235"/>
    </row>
    <row r="894" ht="22.5" customHeight="1">
      <c r="A894" s="233"/>
      <c r="B894" s="227"/>
      <c r="C894" s="227"/>
      <c r="D894" s="226"/>
      <c r="E894" s="235"/>
    </row>
    <row r="895" ht="22.5" customHeight="1">
      <c r="A895" s="233"/>
      <c r="B895" s="227"/>
      <c r="C895" s="227"/>
      <c r="D895" s="226"/>
      <c r="E895" s="235"/>
    </row>
    <row r="896" ht="22.5" customHeight="1">
      <c r="A896" s="233"/>
      <c r="B896" s="227"/>
      <c r="C896" s="227"/>
      <c r="D896" s="226"/>
      <c r="E896" s="235"/>
    </row>
    <row r="897" ht="22.5" customHeight="1">
      <c r="A897" s="233"/>
      <c r="B897" s="227"/>
      <c r="C897" s="227"/>
      <c r="D897" s="226"/>
      <c r="E897" s="235"/>
    </row>
    <row r="898" ht="22.5" customHeight="1">
      <c r="A898" s="233"/>
      <c r="B898" s="227"/>
      <c r="C898" s="227"/>
      <c r="D898" s="226"/>
      <c r="E898" s="235"/>
    </row>
    <row r="899" ht="22.5" customHeight="1">
      <c r="A899" s="233"/>
      <c r="B899" s="227"/>
      <c r="C899" s="227"/>
      <c r="D899" s="226"/>
      <c r="E899" s="235"/>
    </row>
    <row r="900" ht="22.5" customHeight="1">
      <c r="A900" s="233"/>
      <c r="B900" s="227"/>
      <c r="C900" s="227"/>
      <c r="D900" s="226"/>
      <c r="E900" s="235"/>
    </row>
    <row r="901" ht="22.5" customHeight="1">
      <c r="A901" s="233"/>
      <c r="B901" s="227"/>
      <c r="C901" s="227"/>
      <c r="D901" s="226"/>
      <c r="E901" s="235"/>
    </row>
    <row r="902" ht="22.5" customHeight="1">
      <c r="A902" s="233"/>
      <c r="B902" s="227"/>
      <c r="C902" s="227"/>
      <c r="D902" s="226"/>
      <c r="E902" s="235"/>
    </row>
    <row r="903" ht="22.5" customHeight="1">
      <c r="A903" s="233"/>
      <c r="B903" s="227"/>
      <c r="C903" s="227"/>
      <c r="D903" s="226"/>
      <c r="E903" s="235"/>
    </row>
    <row r="904" ht="22.5" customHeight="1">
      <c r="A904" s="233"/>
      <c r="B904" s="227"/>
      <c r="C904" s="227"/>
      <c r="D904" s="226"/>
      <c r="E904" s="235"/>
    </row>
    <row r="905" ht="22.5" customHeight="1">
      <c r="A905" s="233"/>
      <c r="B905" s="227"/>
      <c r="C905" s="227"/>
      <c r="D905" s="226"/>
      <c r="E905" s="235"/>
    </row>
    <row r="906" ht="22.5" customHeight="1">
      <c r="A906" s="233"/>
      <c r="B906" s="227"/>
      <c r="C906" s="227"/>
      <c r="D906" s="226"/>
      <c r="E906" s="235"/>
    </row>
    <row r="907" ht="22.5" customHeight="1">
      <c r="A907" s="233"/>
      <c r="B907" s="227"/>
      <c r="C907" s="227"/>
      <c r="D907" s="226"/>
      <c r="E907" s="235"/>
    </row>
    <row r="908" ht="22.5" customHeight="1">
      <c r="A908" s="233"/>
      <c r="B908" s="227"/>
      <c r="C908" s="227"/>
      <c r="D908" s="226"/>
      <c r="E908" s="235"/>
    </row>
    <row r="909" ht="22.5" customHeight="1">
      <c r="A909" s="233"/>
      <c r="B909" s="227"/>
      <c r="C909" s="227"/>
      <c r="D909" s="226"/>
      <c r="E909" s="235"/>
    </row>
    <row r="910" ht="22.5" customHeight="1">
      <c r="A910" s="233"/>
      <c r="B910" s="227"/>
      <c r="C910" s="227"/>
      <c r="D910" s="226"/>
      <c r="E910" s="235"/>
    </row>
    <row r="911" ht="22.5" customHeight="1">
      <c r="A911" s="233"/>
      <c r="B911" s="227"/>
      <c r="C911" s="227"/>
      <c r="D911" s="226"/>
      <c r="E911" s="235"/>
    </row>
    <row r="912" ht="22.5" customHeight="1">
      <c r="A912" s="233"/>
      <c r="B912" s="227"/>
      <c r="C912" s="227"/>
      <c r="D912" s="226"/>
      <c r="E912" s="235"/>
    </row>
    <row r="913" ht="22.5" customHeight="1">
      <c r="A913" s="233"/>
      <c r="B913" s="227"/>
      <c r="C913" s="227"/>
      <c r="D913" s="226"/>
      <c r="E913" s="235"/>
    </row>
    <row r="914" ht="22.5" customHeight="1">
      <c r="A914" s="233"/>
      <c r="B914" s="227"/>
      <c r="C914" s="227"/>
      <c r="D914" s="226"/>
      <c r="E914" s="235"/>
    </row>
    <row r="915" ht="22.5" customHeight="1">
      <c r="A915" s="233"/>
      <c r="B915" s="227"/>
      <c r="C915" s="227"/>
      <c r="D915" s="226"/>
      <c r="E915" s="235"/>
    </row>
    <row r="916" ht="22.5" customHeight="1">
      <c r="A916" s="233"/>
      <c r="B916" s="227"/>
      <c r="C916" s="227"/>
      <c r="D916" s="226"/>
      <c r="E916" s="235"/>
    </row>
    <row r="917" ht="22.5" customHeight="1">
      <c r="A917" s="233"/>
      <c r="B917" s="227"/>
      <c r="C917" s="227"/>
      <c r="D917" s="226"/>
      <c r="E917" s="235"/>
    </row>
    <row r="918" ht="22.5" customHeight="1">
      <c r="A918" s="233"/>
      <c r="B918" s="227"/>
      <c r="C918" s="227"/>
      <c r="D918" s="226"/>
      <c r="E918" s="235"/>
    </row>
    <row r="919" ht="22.5" customHeight="1">
      <c r="A919" s="233"/>
      <c r="B919" s="227"/>
      <c r="C919" s="227"/>
      <c r="D919" s="226"/>
      <c r="E919" s="235"/>
    </row>
    <row r="920" ht="22.5" customHeight="1">
      <c r="A920" s="233"/>
      <c r="B920" s="227"/>
      <c r="C920" s="227"/>
      <c r="D920" s="226"/>
      <c r="E920" s="235"/>
    </row>
    <row r="921" ht="22.5" customHeight="1">
      <c r="A921" s="233"/>
      <c r="B921" s="227"/>
      <c r="C921" s="227"/>
      <c r="D921" s="226"/>
      <c r="E921" s="235"/>
    </row>
    <row r="922" ht="22.5" customHeight="1">
      <c r="A922" s="233"/>
      <c r="B922" s="227"/>
      <c r="C922" s="227"/>
      <c r="D922" s="226"/>
      <c r="E922" s="235"/>
    </row>
    <row r="923" ht="22.5" customHeight="1">
      <c r="A923" s="233"/>
      <c r="B923" s="227"/>
      <c r="C923" s="227"/>
      <c r="D923" s="226"/>
      <c r="E923" s="235"/>
    </row>
    <row r="924" ht="22.5" customHeight="1">
      <c r="A924" s="233"/>
      <c r="B924" s="227"/>
      <c r="C924" s="227"/>
      <c r="D924" s="226"/>
      <c r="E924" s="235"/>
    </row>
    <row r="925" ht="22.5" customHeight="1">
      <c r="A925" s="233"/>
      <c r="B925" s="227"/>
      <c r="C925" s="227"/>
      <c r="D925" s="226"/>
      <c r="E925" s="235"/>
    </row>
    <row r="926" ht="22.5" customHeight="1">
      <c r="A926" s="233"/>
      <c r="B926" s="227"/>
      <c r="C926" s="227"/>
      <c r="D926" s="226"/>
      <c r="E926" s="235"/>
    </row>
    <row r="927" ht="22.5" customHeight="1">
      <c r="A927" s="233"/>
      <c r="B927" s="227"/>
      <c r="C927" s="227"/>
      <c r="D927" s="226"/>
      <c r="E927" s="235"/>
    </row>
    <row r="928" ht="22.5" customHeight="1">
      <c r="A928" s="233"/>
      <c r="B928" s="227"/>
      <c r="C928" s="227"/>
      <c r="D928" s="226"/>
      <c r="E928" s="235"/>
    </row>
    <row r="929" ht="22.5" customHeight="1">
      <c r="A929" s="233"/>
      <c r="B929" s="227"/>
      <c r="C929" s="227"/>
      <c r="D929" s="226"/>
      <c r="E929" s="235"/>
    </row>
    <row r="930" ht="22.5" customHeight="1">
      <c r="A930" s="233"/>
      <c r="B930" s="227"/>
      <c r="C930" s="227"/>
      <c r="D930" s="226"/>
      <c r="E930" s="235"/>
    </row>
    <row r="931" ht="22.5" customHeight="1">
      <c r="A931" s="233"/>
      <c r="B931" s="227"/>
      <c r="C931" s="227"/>
      <c r="D931" s="226"/>
      <c r="E931" s="235"/>
    </row>
    <row r="932" ht="22.5" customHeight="1">
      <c r="A932" s="233"/>
      <c r="B932" s="227"/>
      <c r="C932" s="227"/>
      <c r="D932" s="226"/>
      <c r="E932" s="235"/>
    </row>
    <row r="933" ht="22.5" customHeight="1">
      <c r="A933" s="233"/>
      <c r="B933" s="227"/>
      <c r="C933" s="227"/>
      <c r="D933" s="226"/>
      <c r="E933" s="235"/>
    </row>
    <row r="934" ht="22.5" customHeight="1">
      <c r="A934" s="233"/>
      <c r="B934" s="227"/>
      <c r="C934" s="227"/>
      <c r="D934" s="226"/>
      <c r="E934" s="235"/>
    </row>
    <row r="935" ht="22.5" customHeight="1">
      <c r="A935" s="233"/>
      <c r="B935" s="227"/>
      <c r="C935" s="227"/>
      <c r="D935" s="226"/>
      <c r="E935" s="235"/>
    </row>
    <row r="936" ht="22.5" customHeight="1">
      <c r="A936" s="233"/>
      <c r="B936" s="227"/>
      <c r="C936" s="227"/>
      <c r="D936" s="226"/>
      <c r="E936" s="235"/>
    </row>
    <row r="937" ht="22.5" customHeight="1">
      <c r="A937" s="233"/>
      <c r="B937" s="227"/>
      <c r="C937" s="227"/>
      <c r="D937" s="226"/>
      <c r="E937" s="235"/>
    </row>
    <row r="938" ht="22.5" customHeight="1">
      <c r="A938" s="233"/>
      <c r="B938" s="227"/>
      <c r="C938" s="227"/>
      <c r="D938" s="226"/>
      <c r="E938" s="235"/>
    </row>
    <row r="939" ht="22.5" customHeight="1">
      <c r="A939" s="233"/>
      <c r="B939" s="227"/>
      <c r="C939" s="227"/>
      <c r="D939" s="226"/>
      <c r="E939" s="235"/>
    </row>
    <row r="940" ht="22.5" customHeight="1">
      <c r="A940" s="233"/>
      <c r="B940" s="227"/>
      <c r="C940" s="227"/>
      <c r="D940" s="226"/>
      <c r="E940" s="235"/>
    </row>
    <row r="941" ht="22.5" customHeight="1">
      <c r="A941" s="233"/>
      <c r="B941" s="227"/>
      <c r="C941" s="227"/>
      <c r="D941" s="226"/>
      <c r="E941" s="235"/>
    </row>
    <row r="942" ht="22.5" customHeight="1">
      <c r="A942" s="233"/>
      <c r="B942" s="227"/>
      <c r="C942" s="227"/>
      <c r="D942" s="226"/>
      <c r="E942" s="235"/>
    </row>
    <row r="943" ht="22.5" customHeight="1">
      <c r="A943" s="233"/>
      <c r="B943" s="227"/>
      <c r="C943" s="227"/>
      <c r="D943" s="226"/>
      <c r="E943" s="235"/>
    </row>
    <row r="944" ht="22.5" customHeight="1">
      <c r="A944" s="233"/>
      <c r="B944" s="227"/>
      <c r="C944" s="227"/>
      <c r="D944" s="226"/>
      <c r="E944" s="235"/>
    </row>
    <row r="945" ht="22.5" customHeight="1">
      <c r="A945" s="233"/>
      <c r="B945" s="227"/>
      <c r="C945" s="227"/>
      <c r="D945" s="226"/>
      <c r="E945" s="235"/>
    </row>
    <row r="946" ht="22.5" customHeight="1">
      <c r="A946" s="233"/>
      <c r="B946" s="227"/>
      <c r="C946" s="227"/>
      <c r="D946" s="226"/>
      <c r="E946" s="235"/>
    </row>
    <row r="947" ht="22.5" customHeight="1">
      <c r="A947" s="233"/>
      <c r="B947" s="227"/>
      <c r="C947" s="227"/>
      <c r="D947" s="226"/>
      <c r="E947" s="235"/>
    </row>
    <row r="948" ht="22.5" customHeight="1">
      <c r="A948" s="233"/>
      <c r="B948" s="227"/>
      <c r="C948" s="227"/>
      <c r="D948" s="226"/>
      <c r="E948" s="235"/>
    </row>
    <row r="949" ht="22.5" customHeight="1">
      <c r="A949" s="233"/>
      <c r="B949" s="227"/>
      <c r="C949" s="227"/>
      <c r="D949" s="226"/>
      <c r="E949" s="235"/>
    </row>
    <row r="950" ht="22.5" customHeight="1">
      <c r="A950" s="233"/>
      <c r="B950" s="227"/>
      <c r="C950" s="227"/>
      <c r="D950" s="226"/>
      <c r="E950" s="235"/>
    </row>
    <row r="951" ht="22.5" customHeight="1">
      <c r="A951" s="233"/>
      <c r="B951" s="227"/>
      <c r="C951" s="227"/>
      <c r="D951" s="226"/>
      <c r="E951" s="235"/>
    </row>
    <row r="952" ht="22.5" customHeight="1">
      <c r="A952" s="233"/>
      <c r="B952" s="227"/>
      <c r="C952" s="227"/>
      <c r="D952" s="226"/>
      <c r="E952" s="235"/>
    </row>
    <row r="953" ht="22.5" customHeight="1">
      <c r="A953" s="233"/>
      <c r="B953" s="227"/>
      <c r="C953" s="227"/>
      <c r="D953" s="226"/>
      <c r="E953" s="235"/>
    </row>
    <row r="954" ht="22.5" customHeight="1">
      <c r="A954" s="233"/>
      <c r="B954" s="227"/>
      <c r="C954" s="227"/>
      <c r="D954" s="226"/>
      <c r="E954" s="235"/>
    </row>
    <row r="955" ht="22.5" customHeight="1">
      <c r="A955" s="233"/>
      <c r="B955" s="227"/>
      <c r="C955" s="227"/>
      <c r="D955" s="226"/>
      <c r="E955" s="235"/>
    </row>
    <row r="956" ht="22.5" customHeight="1">
      <c r="A956" s="233"/>
      <c r="B956" s="227"/>
      <c r="C956" s="227"/>
      <c r="D956" s="226"/>
      <c r="E956" s="235"/>
    </row>
    <row r="957" ht="22.5" customHeight="1">
      <c r="A957" s="233"/>
      <c r="B957" s="227"/>
      <c r="C957" s="227"/>
      <c r="D957" s="226"/>
      <c r="E957" s="235"/>
    </row>
    <row r="958" ht="22.5" customHeight="1">
      <c r="A958" s="233"/>
      <c r="B958" s="227"/>
      <c r="C958" s="227"/>
      <c r="D958" s="226"/>
      <c r="E958" s="235"/>
    </row>
    <row r="959" ht="22.5" customHeight="1">
      <c r="A959" s="233"/>
      <c r="B959" s="227"/>
      <c r="C959" s="227"/>
      <c r="D959" s="226"/>
      <c r="E959" s="235"/>
    </row>
    <row r="960" ht="22.5" customHeight="1">
      <c r="A960" s="233"/>
      <c r="B960" s="227"/>
      <c r="C960" s="227"/>
      <c r="D960" s="226"/>
      <c r="E960" s="235"/>
    </row>
    <row r="961" ht="22.5" customHeight="1">
      <c r="A961" s="233"/>
      <c r="B961" s="227"/>
      <c r="C961" s="227"/>
      <c r="D961" s="226"/>
      <c r="E961" s="235"/>
    </row>
    <row r="962" ht="22.5" customHeight="1">
      <c r="A962" s="233"/>
      <c r="B962" s="227"/>
      <c r="C962" s="227"/>
      <c r="D962" s="226"/>
      <c r="E962" s="235"/>
    </row>
    <row r="963" ht="22.5" customHeight="1">
      <c r="A963" s="233"/>
      <c r="B963" s="227"/>
      <c r="C963" s="227"/>
      <c r="D963" s="226"/>
      <c r="E963" s="235"/>
    </row>
    <row r="964" ht="22.5" customHeight="1">
      <c r="A964" s="233"/>
      <c r="B964" s="227"/>
      <c r="C964" s="227"/>
      <c r="D964" s="226"/>
      <c r="E964" s="235"/>
    </row>
    <row r="965" ht="22.5" customHeight="1">
      <c r="A965" s="233"/>
      <c r="B965" s="227"/>
      <c r="C965" s="227"/>
      <c r="D965" s="226"/>
      <c r="E965" s="235"/>
    </row>
    <row r="966" ht="22.5" customHeight="1">
      <c r="A966" s="233"/>
      <c r="B966" s="227"/>
      <c r="C966" s="227"/>
      <c r="D966" s="226"/>
      <c r="E966" s="235"/>
    </row>
    <row r="967" ht="22.5" customHeight="1">
      <c r="A967" s="233"/>
      <c r="B967" s="227"/>
      <c r="C967" s="227"/>
      <c r="D967" s="226"/>
      <c r="E967" s="235"/>
    </row>
    <row r="968" ht="22.5" customHeight="1">
      <c r="A968" s="233"/>
      <c r="B968" s="227"/>
      <c r="C968" s="227"/>
      <c r="D968" s="226"/>
      <c r="E968" s="235"/>
    </row>
    <row r="969" ht="22.5" customHeight="1">
      <c r="A969" s="233"/>
      <c r="B969" s="227"/>
      <c r="C969" s="227"/>
      <c r="D969" s="226"/>
      <c r="E969" s="235"/>
    </row>
    <row r="970" ht="22.5" customHeight="1">
      <c r="A970" s="233"/>
      <c r="B970" s="227"/>
      <c r="C970" s="227"/>
      <c r="D970" s="226"/>
      <c r="E970" s="235"/>
    </row>
    <row r="971" ht="22.5" customHeight="1">
      <c r="A971" s="233"/>
      <c r="B971" s="227"/>
      <c r="C971" s="227"/>
      <c r="D971" s="226"/>
      <c r="E971" s="235"/>
    </row>
    <row r="972" ht="22.5" customHeight="1">
      <c r="A972" s="233"/>
      <c r="B972" s="227"/>
      <c r="C972" s="227"/>
      <c r="D972" s="226"/>
      <c r="E972" s="235"/>
    </row>
    <row r="973" ht="22.5" customHeight="1">
      <c r="A973" s="233"/>
      <c r="B973" s="227"/>
      <c r="C973" s="227"/>
      <c r="D973" s="226"/>
      <c r="E973" s="235"/>
    </row>
    <row r="974" ht="22.5" customHeight="1">
      <c r="A974" s="233"/>
      <c r="B974" s="227"/>
      <c r="C974" s="227"/>
      <c r="D974" s="226"/>
      <c r="E974" s="235"/>
    </row>
    <row r="975" ht="22.5" customHeight="1">
      <c r="A975" s="233"/>
      <c r="B975" s="227"/>
      <c r="C975" s="227"/>
      <c r="D975" s="226"/>
      <c r="E975" s="235"/>
    </row>
    <row r="976" ht="22.5" customHeight="1">
      <c r="A976" s="233"/>
      <c r="B976" s="227"/>
      <c r="C976" s="227"/>
      <c r="D976" s="226"/>
      <c r="E976" s="235"/>
    </row>
    <row r="977" ht="22.5" customHeight="1">
      <c r="A977" s="233"/>
      <c r="B977" s="227"/>
      <c r="C977" s="227"/>
      <c r="D977" s="226"/>
      <c r="E977" s="235"/>
    </row>
    <row r="978" ht="22.5" customHeight="1">
      <c r="A978" s="233"/>
      <c r="B978" s="227"/>
      <c r="C978" s="227"/>
      <c r="D978" s="226"/>
      <c r="E978" s="235"/>
    </row>
    <row r="979" ht="22.5" customHeight="1">
      <c r="A979" s="233"/>
      <c r="B979" s="227"/>
      <c r="C979" s="227"/>
      <c r="D979" s="226"/>
      <c r="E979" s="235"/>
    </row>
    <row r="980" ht="22.5" customHeight="1">
      <c r="A980" s="233"/>
      <c r="B980" s="227"/>
      <c r="C980" s="227"/>
      <c r="D980" s="226"/>
      <c r="E980" s="235"/>
    </row>
    <row r="981" ht="22.5" customHeight="1">
      <c r="A981" s="233"/>
      <c r="B981" s="227"/>
      <c r="C981" s="227"/>
      <c r="D981" s="226"/>
      <c r="E981" s="235"/>
    </row>
    <row r="982" ht="22.5" customHeight="1">
      <c r="A982" s="233"/>
      <c r="B982" s="227"/>
      <c r="C982" s="227"/>
      <c r="D982" s="226"/>
      <c r="E982" s="235"/>
    </row>
    <row r="983" ht="22.5" customHeight="1">
      <c r="A983" s="233"/>
      <c r="B983" s="227"/>
      <c r="C983" s="227"/>
      <c r="D983" s="226"/>
      <c r="E983" s="235"/>
    </row>
    <row r="984" ht="22.5" customHeight="1">
      <c r="A984" s="233"/>
      <c r="B984" s="227"/>
      <c r="C984" s="227"/>
      <c r="D984" s="226"/>
      <c r="E984" s="235"/>
    </row>
    <row r="985" ht="22.5" customHeight="1">
      <c r="A985" s="233"/>
      <c r="B985" s="227"/>
      <c r="C985" s="227"/>
      <c r="D985" s="226"/>
      <c r="E985" s="235"/>
    </row>
    <row r="986" ht="22.5" customHeight="1">
      <c r="A986" s="233"/>
      <c r="B986" s="227"/>
      <c r="C986" s="227"/>
      <c r="D986" s="226"/>
      <c r="E986" s="235"/>
    </row>
    <row r="987" ht="22.5" customHeight="1">
      <c r="A987" s="233"/>
      <c r="B987" s="227"/>
      <c r="C987" s="227"/>
      <c r="D987" s="226"/>
      <c r="E987" s="235"/>
    </row>
    <row r="988" ht="22.5" customHeight="1">
      <c r="A988" s="233"/>
      <c r="B988" s="227"/>
      <c r="C988" s="227"/>
      <c r="D988" s="226"/>
      <c r="E988" s="235"/>
    </row>
    <row r="989" ht="22.5" customHeight="1">
      <c r="A989" s="233"/>
      <c r="B989" s="227"/>
      <c r="C989" s="227"/>
      <c r="D989" s="226"/>
      <c r="E989" s="235"/>
    </row>
    <row r="990" ht="22.5" customHeight="1">
      <c r="A990" s="233"/>
      <c r="B990" s="227"/>
      <c r="C990" s="227"/>
      <c r="D990" s="226"/>
      <c r="E990" s="235"/>
    </row>
    <row r="991" ht="22.5" customHeight="1">
      <c r="A991" s="233"/>
      <c r="B991" s="227"/>
      <c r="C991" s="227"/>
      <c r="D991" s="226"/>
      <c r="E991" s="235"/>
    </row>
    <row r="992" ht="22.5" customHeight="1">
      <c r="A992" s="233"/>
      <c r="B992" s="227"/>
      <c r="C992" s="227"/>
      <c r="D992" s="226"/>
      <c r="E992" s="235"/>
    </row>
    <row r="993" ht="22.5" customHeight="1">
      <c r="A993" s="233"/>
      <c r="B993" s="227"/>
      <c r="C993" s="227"/>
      <c r="D993" s="226"/>
      <c r="E993" s="235"/>
    </row>
    <row r="994" ht="22.5" customHeight="1">
      <c r="A994" s="233"/>
      <c r="B994" s="227"/>
      <c r="C994" s="227"/>
      <c r="D994" s="226"/>
      <c r="E994" s="235"/>
    </row>
    <row r="995" ht="22.5" customHeight="1">
      <c r="A995" s="233"/>
      <c r="B995" s="227"/>
      <c r="C995" s="227"/>
      <c r="D995" s="226"/>
      <c r="E995" s="235"/>
    </row>
    <row r="996" ht="22.5" customHeight="1">
      <c r="A996" s="233"/>
      <c r="B996" s="227"/>
      <c r="C996" s="227"/>
      <c r="D996" s="226"/>
      <c r="E996" s="235"/>
    </row>
    <row r="997" ht="22.5" customHeight="1">
      <c r="A997" s="233"/>
      <c r="B997" s="227"/>
      <c r="C997" s="227"/>
      <c r="D997" s="226"/>
      <c r="E997" s="235"/>
    </row>
    <row r="998" ht="22.5" customHeight="1">
      <c r="A998" s="233"/>
      <c r="B998" s="227"/>
      <c r="C998" s="227"/>
      <c r="D998" s="226"/>
      <c r="E998" s="235"/>
    </row>
    <row r="999" ht="22.5" customHeight="1">
      <c r="A999" s="233"/>
      <c r="B999" s="227"/>
      <c r="C999" s="227"/>
      <c r="D999" s="226"/>
      <c r="E999" s="235"/>
    </row>
    <row r="1000" ht="22.5" customHeight="1">
      <c r="A1000" s="233"/>
      <c r="B1000" s="227"/>
      <c r="C1000" s="227"/>
      <c r="D1000" s="226"/>
      <c r="E1000" s="235"/>
    </row>
    <row r="1001" ht="22.5" customHeight="1">
      <c r="A1001" s="233"/>
      <c r="B1001" s="227"/>
      <c r="C1001" s="227"/>
      <c r="D1001" s="226"/>
      <c r="E1001" s="235"/>
    </row>
    <row r="1002" ht="22.5" customHeight="1">
      <c r="A1002" s="233"/>
      <c r="B1002" s="227"/>
      <c r="C1002" s="227"/>
      <c r="D1002" s="226"/>
      <c r="E1002" s="235"/>
    </row>
    <row r="1003" ht="22.5" customHeight="1">
      <c r="A1003" s="233"/>
      <c r="B1003" s="227"/>
      <c r="C1003" s="227"/>
      <c r="D1003" s="226"/>
      <c r="E1003" s="235"/>
    </row>
    <row r="1004" ht="22.5" customHeight="1">
      <c r="A1004" s="233"/>
      <c r="B1004" s="227"/>
      <c r="C1004" s="227"/>
      <c r="D1004" s="226"/>
      <c r="E1004" s="235"/>
    </row>
    <row r="1005" ht="22.5" customHeight="1">
      <c r="A1005" s="233"/>
      <c r="B1005" s="227"/>
      <c r="C1005" s="227"/>
      <c r="D1005" s="226"/>
      <c r="E1005" s="235"/>
    </row>
    <row r="1006" ht="22.5" customHeight="1">
      <c r="A1006" s="233"/>
      <c r="B1006" s="227"/>
      <c r="C1006" s="227"/>
      <c r="D1006" s="226"/>
      <c r="E1006" s="235"/>
    </row>
    <row r="1007" ht="22.5" customHeight="1">
      <c r="A1007" s="233"/>
      <c r="B1007" s="227"/>
      <c r="C1007" s="227"/>
      <c r="D1007" s="226"/>
      <c r="E1007" s="235"/>
    </row>
    <row r="1008" ht="22.5" customHeight="1">
      <c r="A1008" s="233"/>
      <c r="B1008" s="227"/>
      <c r="C1008" s="227"/>
      <c r="D1008" s="226"/>
      <c r="E1008" s="235"/>
    </row>
    <row r="1009" ht="22.5" customHeight="1">
      <c r="A1009" s="233"/>
      <c r="B1009" s="227"/>
      <c r="C1009" s="227"/>
      <c r="D1009" s="226"/>
      <c r="E1009" s="235"/>
    </row>
    <row r="1010" ht="22.5" customHeight="1">
      <c r="A1010" s="233"/>
      <c r="B1010" s="227"/>
      <c r="C1010" s="227"/>
      <c r="D1010" s="226"/>
      <c r="E1010" s="235"/>
    </row>
    <row r="1011" ht="22.5" customHeight="1">
      <c r="A1011" s="233"/>
      <c r="B1011" s="227"/>
      <c r="C1011" s="227"/>
      <c r="D1011" s="226"/>
      <c r="E1011" s="235"/>
    </row>
    <row r="1012" ht="22.5" customHeight="1">
      <c r="A1012" s="233"/>
      <c r="B1012" s="227"/>
      <c r="C1012" s="227"/>
      <c r="D1012" s="226"/>
      <c r="E1012" s="235"/>
    </row>
    <row r="1013" ht="22.5" customHeight="1">
      <c r="A1013" s="233"/>
      <c r="B1013" s="227"/>
      <c r="C1013" s="227"/>
      <c r="D1013" s="226"/>
      <c r="E1013" s="235"/>
    </row>
    <row r="1014" ht="22.5" customHeight="1">
      <c r="A1014" s="233"/>
      <c r="B1014" s="227"/>
      <c r="C1014" s="227"/>
      <c r="D1014" s="226"/>
      <c r="E1014" s="235"/>
    </row>
    <row r="1015" ht="22.5" customHeight="1">
      <c r="A1015" s="233"/>
      <c r="B1015" s="227"/>
      <c r="C1015" s="227"/>
      <c r="D1015" s="226"/>
      <c r="E1015" s="235"/>
    </row>
  </sheetData>
  <dataValidations>
    <dataValidation type="list" allowBlank="1" sqref="C2:C1015">
      <formula1>#REF!</formula1>
    </dataValidation>
    <dataValidation type="custom" allowBlank="1" showDropDown="1" sqref="E2:E1015">
      <formula1>OR(NOT(ISERROR(DATEVALUE(E2))), AND(ISNUMBER(E2), LEFT(CELL("format", E2))="D"))</formula1>
    </dataValidation>
    <dataValidation type="list" allowBlank="1" sqref="B2:B1015">
      <formula1>#REF!</formula1>
    </dataValidation>
    <dataValidation type="custom" allowBlank="1" showDropDown="1" sqref="A2:A1015">
      <formula1>AND(ISNUMBER(A2),(NOT(OR(NOT(ISERROR(DATEVALUE(A2))), AND(ISNUMBER(A2), LEFT(CELL("format", A2))="D")))))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22.63"/>
  </cols>
  <sheetData>
    <row r="1" ht="22.5" customHeight="1">
      <c r="A1" s="206" t="s">
        <v>1</v>
      </c>
      <c r="B1" s="206" t="s">
        <v>614</v>
      </c>
      <c r="C1" s="206" t="s">
        <v>615</v>
      </c>
      <c r="D1" s="206" t="s">
        <v>620</v>
      </c>
      <c r="E1" s="206" t="s">
        <v>119</v>
      </c>
    </row>
    <row r="2" ht="22.5" customHeight="1">
      <c r="A2" s="221">
        <v>1035.0</v>
      </c>
      <c r="B2" s="281" t="s">
        <v>26</v>
      </c>
      <c r="C2" s="281" t="s">
        <v>46</v>
      </c>
      <c r="D2" s="223">
        <v>1035.0</v>
      </c>
      <c r="E2" s="226"/>
    </row>
    <row r="3" ht="22.5" customHeight="1">
      <c r="A3" s="221">
        <v>277859.3708</v>
      </c>
      <c r="B3" s="224" t="s">
        <v>15</v>
      </c>
      <c r="C3" s="224" t="s">
        <v>35</v>
      </c>
      <c r="D3" s="223">
        <v>1486.51</v>
      </c>
      <c r="E3" s="282">
        <v>45966.0</v>
      </c>
    </row>
    <row r="4" ht="22.5" customHeight="1">
      <c r="A4" s="221"/>
      <c r="B4" s="239"/>
      <c r="C4" s="239"/>
      <c r="D4" s="226"/>
      <c r="E4" s="226"/>
    </row>
    <row r="5" ht="22.5" customHeight="1">
      <c r="A5" s="233"/>
      <c r="B5" s="234"/>
      <c r="C5" s="234"/>
      <c r="D5" s="226"/>
      <c r="E5" s="226"/>
    </row>
    <row r="6" ht="22.5" customHeight="1">
      <c r="A6" s="233"/>
      <c r="B6" s="234"/>
      <c r="C6" s="234"/>
      <c r="D6" s="226"/>
      <c r="E6" s="226"/>
    </row>
    <row r="7" ht="22.5" customHeight="1">
      <c r="A7" s="233"/>
      <c r="B7" s="234"/>
      <c r="C7" s="234"/>
      <c r="D7" s="226"/>
      <c r="E7" s="226"/>
    </row>
    <row r="8" ht="22.5" customHeight="1">
      <c r="A8" s="233"/>
      <c r="B8" s="234"/>
      <c r="C8" s="234"/>
      <c r="D8" s="226"/>
      <c r="E8" s="226"/>
    </row>
    <row r="9" ht="22.5" customHeight="1">
      <c r="A9" s="233"/>
      <c r="B9" s="234"/>
      <c r="C9" s="234"/>
      <c r="D9" s="226"/>
      <c r="E9" s="226"/>
    </row>
    <row r="10" ht="22.5" customHeight="1">
      <c r="A10" s="233"/>
      <c r="B10" s="234"/>
      <c r="C10" s="234"/>
      <c r="D10" s="226"/>
      <c r="E10" s="226"/>
    </row>
    <row r="11" ht="22.5" customHeight="1">
      <c r="A11" s="233"/>
      <c r="B11" s="234"/>
      <c r="C11" s="234"/>
      <c r="D11" s="226"/>
      <c r="E11" s="226"/>
    </row>
    <row r="12" ht="22.5" customHeight="1">
      <c r="A12" s="233"/>
      <c r="B12" s="234"/>
      <c r="C12" s="234"/>
      <c r="D12" s="226"/>
      <c r="E12" s="226"/>
    </row>
    <row r="13" ht="22.5" customHeight="1">
      <c r="A13" s="233"/>
      <c r="B13" s="234"/>
      <c r="C13" s="234"/>
      <c r="D13" s="226"/>
      <c r="E13" s="226"/>
    </row>
    <row r="14" ht="22.5" customHeight="1">
      <c r="A14" s="233"/>
      <c r="B14" s="234"/>
      <c r="C14" s="234"/>
      <c r="D14" s="226"/>
      <c r="E14" s="226"/>
    </row>
    <row r="15" ht="22.5" customHeight="1">
      <c r="A15" s="233"/>
      <c r="B15" s="234"/>
      <c r="C15" s="234"/>
      <c r="D15" s="226"/>
      <c r="E15" s="226"/>
    </row>
    <row r="16" ht="22.5" customHeight="1">
      <c r="A16" s="233"/>
      <c r="B16" s="234"/>
      <c r="C16" s="234"/>
      <c r="D16" s="226"/>
      <c r="E16" s="226"/>
    </row>
    <row r="17" ht="22.5" customHeight="1">
      <c r="A17" s="233"/>
      <c r="B17" s="234"/>
      <c r="C17" s="234"/>
      <c r="D17" s="226"/>
      <c r="E17" s="226"/>
    </row>
    <row r="18" ht="22.5" customHeight="1">
      <c r="A18" s="233"/>
      <c r="B18" s="234"/>
      <c r="C18" s="234"/>
      <c r="D18" s="226"/>
      <c r="E18" s="226"/>
    </row>
    <row r="19" ht="22.5" customHeight="1">
      <c r="A19" s="233"/>
      <c r="B19" s="234"/>
      <c r="C19" s="234"/>
      <c r="D19" s="226"/>
      <c r="E19" s="226"/>
    </row>
    <row r="20" ht="22.5" customHeight="1">
      <c r="A20" s="233"/>
      <c r="B20" s="234"/>
      <c r="C20" s="234"/>
      <c r="D20" s="226"/>
      <c r="E20" s="226"/>
    </row>
    <row r="21" ht="22.5" customHeight="1">
      <c r="A21" s="233"/>
      <c r="B21" s="234"/>
      <c r="C21" s="234"/>
      <c r="D21" s="226"/>
      <c r="E21" s="226"/>
    </row>
    <row r="22" ht="22.5" customHeight="1">
      <c r="A22" s="233"/>
      <c r="B22" s="234"/>
      <c r="C22" s="234"/>
      <c r="D22" s="226"/>
      <c r="E22" s="226"/>
    </row>
    <row r="23" ht="22.5" customHeight="1">
      <c r="A23" s="233"/>
      <c r="B23" s="234"/>
      <c r="C23" s="234"/>
      <c r="D23" s="226"/>
      <c r="E23" s="226"/>
    </row>
    <row r="24" ht="22.5" customHeight="1">
      <c r="A24" s="233"/>
      <c r="B24" s="234"/>
      <c r="C24" s="234"/>
      <c r="D24" s="226"/>
      <c r="E24" s="226"/>
    </row>
    <row r="25" ht="22.5" customHeight="1">
      <c r="A25" s="233"/>
      <c r="B25" s="234"/>
      <c r="C25" s="234"/>
      <c r="D25" s="226"/>
      <c r="E25" s="226"/>
    </row>
    <row r="26" ht="22.5" customHeight="1">
      <c r="A26" s="233"/>
      <c r="B26" s="234"/>
      <c r="C26" s="234"/>
      <c r="D26" s="226"/>
      <c r="E26" s="226"/>
    </row>
    <row r="27" ht="22.5" customHeight="1">
      <c r="A27" s="233"/>
      <c r="B27" s="234"/>
      <c r="C27" s="234"/>
      <c r="D27" s="226"/>
      <c r="E27" s="226"/>
    </row>
    <row r="28" ht="22.5" customHeight="1">
      <c r="A28" s="233"/>
      <c r="B28" s="234"/>
      <c r="C28" s="234"/>
      <c r="D28" s="226"/>
      <c r="E28" s="226"/>
    </row>
    <row r="29" ht="22.5" customHeight="1">
      <c r="A29" s="233"/>
      <c r="B29" s="234"/>
      <c r="C29" s="234"/>
      <c r="D29" s="226"/>
      <c r="E29" s="226"/>
    </row>
    <row r="30" ht="22.5" customHeight="1">
      <c r="A30" s="233"/>
      <c r="B30" s="234"/>
      <c r="C30" s="234"/>
      <c r="D30" s="226"/>
      <c r="E30" s="226"/>
    </row>
    <row r="31" ht="22.5" customHeight="1">
      <c r="A31" s="233"/>
      <c r="B31" s="234"/>
      <c r="C31" s="234"/>
      <c r="D31" s="226"/>
      <c r="E31" s="226"/>
    </row>
    <row r="32" ht="22.5" customHeight="1">
      <c r="A32" s="233"/>
      <c r="B32" s="234"/>
      <c r="C32" s="234"/>
      <c r="D32" s="226"/>
      <c r="E32" s="226"/>
    </row>
    <row r="33" ht="22.5" customHeight="1">
      <c r="A33" s="233"/>
      <c r="B33" s="234"/>
      <c r="C33" s="234"/>
      <c r="D33" s="226"/>
      <c r="E33" s="226"/>
    </row>
    <row r="34" ht="22.5" customHeight="1">
      <c r="A34" s="233"/>
      <c r="B34" s="234"/>
      <c r="C34" s="234"/>
      <c r="D34" s="226"/>
      <c r="E34" s="226"/>
    </row>
    <row r="35" ht="22.5" customHeight="1">
      <c r="A35" s="233"/>
      <c r="B35" s="234"/>
      <c r="C35" s="234"/>
      <c r="D35" s="226"/>
      <c r="E35" s="226"/>
    </row>
    <row r="36" ht="22.5" customHeight="1">
      <c r="A36" s="233"/>
      <c r="B36" s="234"/>
      <c r="C36" s="234"/>
      <c r="D36" s="226"/>
      <c r="E36" s="226"/>
    </row>
    <row r="37" ht="22.5" customHeight="1">
      <c r="A37" s="233"/>
      <c r="B37" s="234"/>
      <c r="C37" s="234"/>
      <c r="D37" s="226"/>
      <c r="E37" s="226"/>
    </row>
    <row r="38" ht="22.5" customHeight="1">
      <c r="A38" s="233"/>
      <c r="B38" s="234"/>
      <c r="C38" s="234"/>
      <c r="D38" s="226"/>
      <c r="E38" s="226"/>
    </row>
    <row r="39" ht="22.5" customHeight="1">
      <c r="A39" s="233"/>
      <c r="B39" s="234"/>
      <c r="C39" s="234"/>
      <c r="D39" s="226"/>
      <c r="E39" s="226"/>
    </row>
    <row r="40" ht="22.5" customHeight="1">
      <c r="A40" s="233"/>
      <c r="B40" s="234"/>
      <c r="C40" s="234"/>
      <c r="D40" s="226"/>
      <c r="E40" s="226"/>
    </row>
    <row r="41" ht="22.5" customHeight="1">
      <c r="A41" s="233"/>
      <c r="B41" s="234"/>
      <c r="C41" s="234"/>
      <c r="D41" s="226"/>
      <c r="E41" s="226"/>
    </row>
    <row r="42" ht="22.5" customHeight="1">
      <c r="A42" s="233"/>
      <c r="B42" s="234"/>
      <c r="C42" s="234"/>
      <c r="D42" s="226"/>
      <c r="E42" s="226"/>
    </row>
    <row r="43" ht="22.5" customHeight="1">
      <c r="A43" s="233"/>
      <c r="B43" s="234"/>
      <c r="C43" s="234"/>
      <c r="D43" s="226"/>
      <c r="E43" s="226"/>
    </row>
    <row r="44" ht="22.5" customHeight="1">
      <c r="A44" s="233"/>
      <c r="B44" s="234"/>
      <c r="C44" s="234"/>
      <c r="D44" s="226"/>
      <c r="E44" s="226"/>
    </row>
    <row r="45" ht="22.5" customHeight="1">
      <c r="A45" s="233"/>
      <c r="B45" s="234"/>
      <c r="C45" s="234"/>
      <c r="D45" s="226"/>
      <c r="E45" s="226"/>
    </row>
    <row r="46" ht="22.5" customHeight="1">
      <c r="A46" s="233"/>
      <c r="B46" s="234"/>
      <c r="C46" s="234"/>
      <c r="D46" s="226"/>
      <c r="E46" s="226"/>
    </row>
    <row r="47" ht="22.5" customHeight="1">
      <c r="A47" s="233"/>
      <c r="B47" s="234"/>
      <c r="C47" s="234"/>
      <c r="D47" s="226"/>
      <c r="E47" s="226"/>
    </row>
    <row r="48" ht="22.5" customHeight="1">
      <c r="A48" s="233"/>
      <c r="B48" s="234"/>
      <c r="C48" s="234"/>
      <c r="D48" s="226"/>
      <c r="E48" s="226"/>
    </row>
    <row r="49" ht="22.5" customHeight="1">
      <c r="A49" s="233"/>
      <c r="B49" s="234"/>
      <c r="C49" s="234"/>
      <c r="D49" s="226"/>
      <c r="E49" s="226"/>
    </row>
    <row r="50" ht="22.5" customHeight="1">
      <c r="A50" s="233"/>
      <c r="B50" s="234"/>
      <c r="C50" s="234"/>
      <c r="D50" s="226"/>
      <c r="E50" s="226"/>
    </row>
    <row r="51" ht="22.5" customHeight="1">
      <c r="A51" s="233"/>
      <c r="B51" s="234"/>
      <c r="C51" s="234"/>
      <c r="D51" s="226"/>
      <c r="E51" s="226"/>
    </row>
    <row r="52" ht="22.5" customHeight="1">
      <c r="A52" s="233"/>
      <c r="B52" s="234"/>
      <c r="C52" s="234"/>
      <c r="D52" s="226"/>
      <c r="E52" s="226"/>
    </row>
    <row r="53" ht="22.5" customHeight="1">
      <c r="A53" s="233"/>
      <c r="B53" s="234"/>
      <c r="C53" s="234"/>
      <c r="D53" s="226"/>
      <c r="E53" s="226"/>
    </row>
    <row r="54" ht="22.5" customHeight="1">
      <c r="A54" s="233"/>
      <c r="B54" s="234"/>
      <c r="C54" s="234"/>
      <c r="D54" s="226"/>
      <c r="E54" s="226"/>
    </row>
    <row r="55" ht="22.5" customHeight="1">
      <c r="A55" s="233"/>
      <c r="B55" s="234"/>
      <c r="C55" s="234"/>
      <c r="D55" s="226"/>
      <c r="E55" s="226"/>
    </row>
    <row r="56" ht="22.5" customHeight="1">
      <c r="A56" s="233"/>
      <c r="B56" s="234"/>
      <c r="C56" s="234"/>
      <c r="D56" s="226"/>
      <c r="E56" s="226"/>
    </row>
    <row r="57" ht="22.5" customHeight="1">
      <c r="A57" s="233"/>
      <c r="B57" s="234"/>
      <c r="C57" s="234"/>
      <c r="D57" s="226"/>
      <c r="E57" s="226"/>
    </row>
    <row r="58" ht="22.5" customHeight="1">
      <c r="A58" s="233"/>
      <c r="B58" s="234"/>
      <c r="C58" s="234"/>
      <c r="D58" s="226"/>
      <c r="E58" s="226"/>
    </row>
    <row r="59" ht="22.5" customHeight="1">
      <c r="A59" s="233"/>
      <c r="B59" s="234"/>
      <c r="C59" s="234"/>
      <c r="D59" s="226"/>
      <c r="E59" s="226"/>
    </row>
    <row r="60" ht="22.5" customHeight="1">
      <c r="A60" s="233"/>
      <c r="B60" s="234"/>
      <c r="C60" s="234"/>
      <c r="D60" s="226"/>
      <c r="E60" s="226"/>
    </row>
    <row r="61" ht="22.5" customHeight="1">
      <c r="A61" s="233"/>
      <c r="B61" s="234"/>
      <c r="C61" s="234"/>
      <c r="D61" s="226"/>
      <c r="E61" s="226"/>
    </row>
    <row r="62" ht="22.5" customHeight="1">
      <c r="A62" s="233"/>
      <c r="B62" s="234"/>
      <c r="C62" s="234"/>
      <c r="D62" s="226"/>
      <c r="E62" s="226"/>
    </row>
    <row r="63" ht="22.5" customHeight="1">
      <c r="A63" s="233"/>
      <c r="B63" s="234"/>
      <c r="C63" s="234"/>
      <c r="D63" s="226"/>
      <c r="E63" s="226"/>
    </row>
    <row r="64" ht="22.5" customHeight="1">
      <c r="A64" s="233"/>
      <c r="B64" s="234"/>
      <c r="C64" s="234"/>
      <c r="D64" s="226"/>
      <c r="E64" s="226"/>
    </row>
    <row r="65" ht="22.5" customHeight="1">
      <c r="A65" s="233"/>
      <c r="B65" s="234"/>
      <c r="C65" s="234"/>
      <c r="D65" s="226"/>
      <c r="E65" s="226"/>
    </row>
    <row r="66" ht="22.5" customHeight="1">
      <c r="A66" s="233"/>
      <c r="B66" s="234"/>
      <c r="C66" s="234"/>
      <c r="D66" s="226"/>
      <c r="E66" s="226"/>
    </row>
    <row r="67" ht="22.5" customHeight="1">
      <c r="A67" s="233"/>
      <c r="B67" s="234"/>
      <c r="C67" s="234"/>
      <c r="D67" s="226"/>
      <c r="E67" s="226"/>
    </row>
    <row r="68" ht="22.5" customHeight="1">
      <c r="A68" s="233"/>
      <c r="B68" s="234"/>
      <c r="C68" s="234"/>
      <c r="D68" s="226"/>
      <c r="E68" s="226"/>
    </row>
    <row r="69" ht="22.5" customHeight="1">
      <c r="A69" s="233"/>
      <c r="B69" s="234"/>
      <c r="C69" s="234"/>
      <c r="D69" s="226"/>
      <c r="E69" s="226"/>
    </row>
    <row r="70" ht="22.5" customHeight="1">
      <c r="A70" s="233"/>
      <c r="B70" s="234"/>
      <c r="C70" s="234"/>
      <c r="D70" s="226"/>
      <c r="E70" s="226"/>
    </row>
    <row r="71" ht="22.5" customHeight="1">
      <c r="A71" s="233"/>
      <c r="B71" s="234"/>
      <c r="C71" s="234"/>
      <c r="D71" s="226"/>
      <c r="E71" s="226"/>
    </row>
    <row r="72" ht="22.5" customHeight="1">
      <c r="A72" s="233"/>
      <c r="B72" s="234"/>
      <c r="C72" s="234"/>
      <c r="D72" s="226"/>
      <c r="E72" s="226"/>
    </row>
    <row r="73" ht="22.5" customHeight="1">
      <c r="A73" s="233"/>
      <c r="B73" s="234"/>
      <c r="C73" s="234"/>
      <c r="D73" s="226"/>
      <c r="E73" s="226"/>
    </row>
    <row r="74" ht="22.5" customHeight="1">
      <c r="A74" s="233"/>
      <c r="B74" s="234"/>
      <c r="C74" s="234"/>
      <c r="D74" s="226"/>
      <c r="E74" s="226"/>
    </row>
    <row r="75" ht="22.5" customHeight="1">
      <c r="A75" s="233"/>
      <c r="B75" s="234"/>
      <c r="C75" s="234"/>
      <c r="D75" s="226"/>
      <c r="E75" s="226"/>
    </row>
    <row r="76" ht="22.5" customHeight="1">
      <c r="A76" s="233"/>
      <c r="B76" s="234"/>
      <c r="C76" s="234"/>
      <c r="D76" s="226"/>
      <c r="E76" s="226"/>
    </row>
    <row r="77" ht="22.5" customHeight="1">
      <c r="A77" s="233"/>
      <c r="B77" s="234"/>
      <c r="C77" s="234"/>
      <c r="D77" s="226"/>
      <c r="E77" s="226"/>
    </row>
    <row r="78" ht="22.5" customHeight="1">
      <c r="A78" s="233"/>
      <c r="B78" s="234"/>
      <c r="C78" s="234"/>
      <c r="D78" s="226"/>
      <c r="E78" s="226"/>
    </row>
    <row r="79" ht="22.5" customHeight="1">
      <c r="A79" s="233"/>
      <c r="B79" s="234"/>
      <c r="C79" s="234"/>
      <c r="D79" s="226"/>
      <c r="E79" s="226"/>
    </row>
    <row r="80" ht="22.5" customHeight="1">
      <c r="A80" s="233"/>
      <c r="B80" s="234"/>
      <c r="C80" s="234"/>
      <c r="D80" s="226"/>
      <c r="E80" s="226"/>
    </row>
    <row r="81" ht="22.5" customHeight="1">
      <c r="A81" s="233"/>
      <c r="B81" s="234"/>
      <c r="C81" s="234"/>
      <c r="D81" s="226"/>
      <c r="E81" s="226"/>
    </row>
    <row r="82" ht="22.5" customHeight="1">
      <c r="A82" s="233"/>
      <c r="B82" s="234"/>
      <c r="C82" s="234"/>
      <c r="D82" s="226"/>
      <c r="E82" s="226"/>
    </row>
    <row r="83" ht="22.5" customHeight="1">
      <c r="A83" s="233"/>
      <c r="B83" s="234"/>
      <c r="C83" s="234"/>
      <c r="D83" s="226"/>
      <c r="E83" s="226"/>
    </row>
    <row r="84" ht="22.5" customHeight="1">
      <c r="A84" s="233"/>
      <c r="B84" s="234"/>
      <c r="C84" s="234"/>
      <c r="D84" s="226"/>
      <c r="E84" s="226"/>
    </row>
    <row r="85" ht="22.5" customHeight="1">
      <c r="A85" s="233"/>
      <c r="B85" s="234"/>
      <c r="C85" s="234"/>
      <c r="D85" s="226"/>
      <c r="E85" s="226"/>
    </row>
    <row r="86" ht="22.5" customHeight="1">
      <c r="A86" s="233"/>
      <c r="B86" s="234"/>
      <c r="C86" s="234"/>
      <c r="D86" s="226"/>
      <c r="E86" s="226"/>
    </row>
    <row r="87" ht="22.5" customHeight="1">
      <c r="A87" s="233"/>
      <c r="B87" s="234"/>
      <c r="C87" s="234"/>
      <c r="D87" s="226"/>
      <c r="E87" s="226"/>
    </row>
    <row r="88" ht="22.5" customHeight="1">
      <c r="A88" s="233"/>
      <c r="B88" s="234"/>
      <c r="C88" s="234"/>
      <c r="D88" s="226"/>
      <c r="E88" s="226"/>
    </row>
    <row r="89" ht="22.5" customHeight="1">
      <c r="A89" s="233"/>
      <c r="B89" s="234"/>
      <c r="C89" s="234"/>
      <c r="D89" s="226"/>
      <c r="E89" s="226"/>
    </row>
    <row r="90" ht="22.5" customHeight="1">
      <c r="A90" s="233"/>
      <c r="B90" s="234"/>
      <c r="C90" s="234"/>
      <c r="D90" s="226"/>
      <c r="E90" s="226"/>
    </row>
    <row r="91" ht="22.5" customHeight="1">
      <c r="A91" s="233"/>
      <c r="B91" s="234"/>
      <c r="C91" s="234"/>
      <c r="D91" s="226"/>
      <c r="E91" s="226"/>
    </row>
    <row r="92" ht="22.5" customHeight="1">
      <c r="A92" s="233"/>
      <c r="B92" s="234"/>
      <c r="C92" s="234"/>
      <c r="D92" s="226"/>
      <c r="E92" s="226"/>
    </row>
    <row r="93" ht="22.5" customHeight="1">
      <c r="A93" s="233"/>
      <c r="B93" s="234"/>
      <c r="C93" s="234"/>
      <c r="D93" s="226"/>
      <c r="E93" s="226"/>
    </row>
    <row r="94" ht="22.5" customHeight="1">
      <c r="A94" s="233"/>
      <c r="B94" s="234"/>
      <c r="C94" s="234"/>
      <c r="D94" s="226"/>
      <c r="E94" s="226"/>
    </row>
    <row r="95" ht="22.5" customHeight="1">
      <c r="A95" s="233"/>
      <c r="B95" s="234"/>
      <c r="C95" s="234"/>
      <c r="D95" s="226"/>
      <c r="E95" s="226"/>
    </row>
    <row r="96" ht="22.5" customHeight="1">
      <c r="A96" s="233"/>
      <c r="B96" s="234"/>
      <c r="C96" s="234"/>
      <c r="D96" s="226"/>
      <c r="E96" s="226"/>
    </row>
    <row r="97" ht="22.5" customHeight="1">
      <c r="A97" s="233"/>
      <c r="B97" s="234"/>
      <c r="C97" s="234"/>
      <c r="D97" s="226"/>
      <c r="E97" s="226"/>
    </row>
    <row r="98" ht="22.5" customHeight="1">
      <c r="A98" s="233"/>
      <c r="B98" s="234"/>
      <c r="C98" s="234"/>
      <c r="D98" s="226"/>
      <c r="E98" s="226"/>
    </row>
    <row r="99" ht="22.5" customHeight="1">
      <c r="A99" s="233"/>
      <c r="B99" s="234"/>
      <c r="C99" s="234"/>
      <c r="D99" s="226"/>
      <c r="E99" s="226"/>
    </row>
    <row r="100" ht="22.5" customHeight="1">
      <c r="A100" s="233"/>
      <c r="B100" s="234"/>
      <c r="C100" s="234"/>
      <c r="D100" s="226"/>
      <c r="E100" s="226"/>
    </row>
    <row r="101" ht="22.5" customHeight="1">
      <c r="A101" s="233"/>
      <c r="B101" s="234"/>
      <c r="C101" s="234"/>
      <c r="D101" s="226"/>
      <c r="E101" s="226"/>
    </row>
    <row r="102" ht="22.5" customHeight="1">
      <c r="A102" s="233"/>
      <c r="B102" s="234"/>
      <c r="C102" s="234"/>
      <c r="D102" s="226"/>
      <c r="E102" s="226"/>
    </row>
    <row r="103" ht="22.5" customHeight="1">
      <c r="A103" s="233"/>
      <c r="B103" s="234"/>
      <c r="C103" s="234"/>
      <c r="D103" s="226"/>
      <c r="E103" s="226"/>
    </row>
    <row r="104" ht="22.5" customHeight="1">
      <c r="A104" s="233"/>
      <c r="B104" s="234"/>
      <c r="C104" s="234"/>
      <c r="D104" s="226"/>
      <c r="E104" s="226"/>
    </row>
    <row r="105" ht="22.5" customHeight="1">
      <c r="A105" s="233"/>
      <c r="B105" s="234"/>
      <c r="C105" s="234"/>
      <c r="D105" s="226"/>
      <c r="E105" s="226"/>
    </row>
    <row r="106" ht="22.5" customHeight="1">
      <c r="A106" s="233"/>
      <c r="B106" s="234"/>
      <c r="C106" s="234"/>
      <c r="D106" s="226"/>
      <c r="E106" s="226"/>
    </row>
    <row r="107" ht="22.5" customHeight="1">
      <c r="A107" s="233"/>
      <c r="B107" s="234"/>
      <c r="C107" s="234"/>
      <c r="D107" s="226"/>
      <c r="E107" s="226"/>
    </row>
    <row r="108" ht="22.5" customHeight="1">
      <c r="A108" s="233"/>
      <c r="B108" s="234"/>
      <c r="C108" s="234"/>
      <c r="D108" s="226"/>
      <c r="E108" s="226"/>
    </row>
    <row r="109" ht="22.5" customHeight="1">
      <c r="A109" s="233"/>
      <c r="B109" s="234"/>
      <c r="C109" s="234"/>
      <c r="D109" s="226"/>
      <c r="E109" s="226"/>
    </row>
    <row r="110" ht="22.5" customHeight="1">
      <c r="A110" s="233"/>
      <c r="B110" s="234"/>
      <c r="C110" s="234"/>
      <c r="D110" s="226"/>
      <c r="E110" s="226"/>
    </row>
    <row r="111" ht="22.5" customHeight="1">
      <c r="A111" s="233"/>
      <c r="B111" s="234"/>
      <c r="C111" s="234"/>
      <c r="D111" s="226"/>
      <c r="E111" s="226"/>
    </row>
    <row r="112" ht="22.5" customHeight="1">
      <c r="A112" s="233"/>
      <c r="B112" s="234"/>
      <c r="C112" s="234"/>
      <c r="D112" s="226"/>
      <c r="E112" s="226"/>
    </row>
    <row r="113" ht="22.5" customHeight="1">
      <c r="A113" s="233"/>
      <c r="B113" s="234"/>
      <c r="C113" s="234"/>
      <c r="D113" s="226"/>
      <c r="E113" s="226"/>
    </row>
    <row r="114" ht="22.5" customHeight="1">
      <c r="A114" s="233"/>
      <c r="B114" s="234"/>
      <c r="C114" s="234"/>
      <c r="D114" s="226"/>
      <c r="E114" s="226"/>
    </row>
    <row r="115" ht="22.5" customHeight="1">
      <c r="A115" s="233"/>
      <c r="B115" s="234"/>
      <c r="C115" s="234"/>
      <c r="D115" s="226"/>
      <c r="E115" s="226"/>
    </row>
    <row r="116" ht="22.5" customHeight="1">
      <c r="A116" s="233"/>
      <c r="B116" s="234"/>
      <c r="C116" s="234"/>
      <c r="D116" s="226"/>
      <c r="E116" s="226"/>
    </row>
    <row r="117" ht="22.5" customHeight="1">
      <c r="A117" s="233"/>
      <c r="B117" s="234"/>
      <c r="C117" s="234"/>
      <c r="D117" s="226"/>
      <c r="E117" s="226"/>
    </row>
    <row r="118" ht="22.5" customHeight="1">
      <c r="A118" s="233"/>
      <c r="B118" s="234"/>
      <c r="C118" s="234"/>
      <c r="D118" s="226"/>
      <c r="E118" s="226"/>
    </row>
    <row r="119" ht="22.5" customHeight="1">
      <c r="A119" s="233"/>
      <c r="B119" s="234"/>
      <c r="C119" s="234"/>
      <c r="D119" s="226"/>
      <c r="E119" s="226"/>
    </row>
    <row r="120" ht="22.5" customHeight="1">
      <c r="A120" s="233"/>
      <c r="B120" s="234"/>
      <c r="C120" s="234"/>
      <c r="D120" s="226"/>
      <c r="E120" s="226"/>
    </row>
    <row r="121" ht="22.5" customHeight="1">
      <c r="A121" s="233"/>
      <c r="B121" s="234"/>
      <c r="C121" s="234"/>
      <c r="D121" s="226"/>
      <c r="E121" s="226"/>
    </row>
    <row r="122" ht="22.5" customHeight="1">
      <c r="A122" s="233"/>
      <c r="B122" s="234"/>
      <c r="C122" s="234"/>
      <c r="D122" s="226"/>
      <c r="E122" s="226"/>
    </row>
    <row r="123" ht="22.5" customHeight="1">
      <c r="A123" s="233"/>
      <c r="B123" s="234"/>
      <c r="C123" s="234"/>
      <c r="D123" s="226"/>
      <c r="E123" s="226"/>
    </row>
    <row r="124" ht="22.5" customHeight="1">
      <c r="A124" s="233"/>
      <c r="B124" s="234"/>
      <c r="C124" s="234"/>
      <c r="D124" s="226"/>
      <c r="E124" s="226"/>
    </row>
    <row r="125" ht="22.5" customHeight="1">
      <c r="A125" s="233"/>
      <c r="B125" s="234"/>
      <c r="C125" s="234"/>
      <c r="D125" s="226"/>
      <c r="E125" s="226"/>
    </row>
    <row r="126" ht="22.5" customHeight="1">
      <c r="A126" s="233"/>
      <c r="B126" s="234"/>
      <c r="C126" s="234"/>
      <c r="D126" s="226"/>
      <c r="E126" s="226"/>
    </row>
    <row r="127" ht="22.5" customHeight="1">
      <c r="A127" s="233"/>
      <c r="B127" s="234"/>
      <c r="C127" s="234"/>
      <c r="D127" s="226"/>
      <c r="E127" s="226"/>
    </row>
    <row r="128" ht="22.5" customHeight="1">
      <c r="A128" s="233"/>
      <c r="B128" s="234"/>
      <c r="C128" s="234"/>
      <c r="D128" s="226"/>
      <c r="E128" s="226"/>
    </row>
    <row r="129" ht="22.5" customHeight="1">
      <c r="A129" s="233"/>
      <c r="B129" s="234"/>
      <c r="C129" s="234"/>
      <c r="D129" s="226"/>
      <c r="E129" s="226"/>
    </row>
    <row r="130" ht="22.5" customHeight="1">
      <c r="A130" s="233"/>
      <c r="B130" s="234"/>
      <c r="C130" s="234"/>
      <c r="D130" s="226"/>
      <c r="E130" s="226"/>
    </row>
    <row r="131" ht="22.5" customHeight="1">
      <c r="A131" s="233"/>
      <c r="B131" s="234"/>
      <c r="C131" s="234"/>
      <c r="D131" s="226"/>
      <c r="E131" s="226"/>
    </row>
    <row r="132" ht="22.5" customHeight="1">
      <c r="A132" s="233"/>
      <c r="B132" s="234"/>
      <c r="C132" s="234"/>
      <c r="D132" s="226"/>
      <c r="E132" s="226"/>
    </row>
    <row r="133" ht="22.5" customHeight="1">
      <c r="A133" s="233"/>
      <c r="B133" s="234"/>
      <c r="C133" s="234"/>
      <c r="D133" s="226"/>
      <c r="E133" s="226"/>
    </row>
    <row r="134" ht="22.5" customHeight="1">
      <c r="A134" s="233"/>
      <c r="B134" s="234"/>
      <c r="C134" s="234"/>
      <c r="D134" s="226"/>
      <c r="E134" s="226"/>
    </row>
    <row r="135" ht="22.5" customHeight="1">
      <c r="A135" s="233"/>
      <c r="B135" s="234"/>
      <c r="C135" s="234"/>
      <c r="D135" s="226"/>
      <c r="E135" s="226"/>
    </row>
    <row r="136" ht="22.5" customHeight="1">
      <c r="A136" s="233"/>
      <c r="B136" s="234"/>
      <c r="C136" s="234"/>
      <c r="D136" s="226"/>
      <c r="E136" s="226"/>
    </row>
    <row r="137" ht="22.5" customHeight="1">
      <c r="A137" s="233"/>
      <c r="B137" s="234"/>
      <c r="C137" s="234"/>
      <c r="D137" s="226"/>
      <c r="E137" s="226"/>
    </row>
    <row r="138" ht="22.5" customHeight="1">
      <c r="A138" s="233"/>
      <c r="B138" s="234"/>
      <c r="C138" s="234"/>
      <c r="D138" s="226"/>
      <c r="E138" s="226"/>
    </row>
    <row r="139" ht="22.5" customHeight="1">
      <c r="A139" s="233"/>
      <c r="B139" s="234"/>
      <c r="C139" s="234"/>
      <c r="D139" s="226"/>
      <c r="E139" s="226"/>
    </row>
    <row r="140" ht="22.5" customHeight="1">
      <c r="A140" s="233"/>
      <c r="B140" s="234"/>
      <c r="C140" s="234"/>
      <c r="D140" s="226"/>
      <c r="E140" s="226"/>
    </row>
    <row r="141" ht="22.5" customHeight="1">
      <c r="A141" s="233"/>
      <c r="B141" s="234"/>
      <c r="C141" s="234"/>
      <c r="D141" s="226"/>
      <c r="E141" s="226"/>
    </row>
    <row r="142" ht="22.5" customHeight="1">
      <c r="A142" s="233"/>
      <c r="B142" s="234"/>
      <c r="C142" s="234"/>
      <c r="D142" s="226"/>
      <c r="E142" s="226"/>
    </row>
    <row r="143" ht="22.5" customHeight="1">
      <c r="A143" s="233"/>
      <c r="B143" s="234"/>
      <c r="C143" s="234"/>
      <c r="D143" s="226"/>
      <c r="E143" s="226"/>
    </row>
    <row r="144" ht="22.5" customHeight="1">
      <c r="A144" s="233"/>
      <c r="B144" s="234"/>
      <c r="C144" s="234"/>
      <c r="D144" s="226"/>
      <c r="E144" s="226"/>
    </row>
    <row r="145" ht="22.5" customHeight="1">
      <c r="A145" s="233"/>
      <c r="B145" s="234"/>
      <c r="C145" s="234"/>
      <c r="D145" s="226"/>
      <c r="E145" s="226"/>
    </row>
    <row r="146" ht="22.5" customHeight="1">
      <c r="A146" s="233"/>
      <c r="B146" s="234"/>
      <c r="C146" s="234"/>
      <c r="D146" s="226"/>
      <c r="E146" s="226"/>
    </row>
    <row r="147" ht="22.5" customHeight="1">
      <c r="A147" s="233"/>
      <c r="B147" s="234"/>
      <c r="C147" s="234"/>
      <c r="D147" s="226"/>
      <c r="E147" s="226"/>
    </row>
    <row r="148" ht="22.5" customHeight="1">
      <c r="A148" s="233"/>
      <c r="B148" s="234"/>
      <c r="C148" s="234"/>
      <c r="D148" s="226"/>
      <c r="E148" s="226"/>
    </row>
    <row r="149" ht="22.5" customHeight="1">
      <c r="A149" s="233"/>
      <c r="B149" s="234"/>
      <c r="C149" s="234"/>
      <c r="D149" s="226"/>
      <c r="E149" s="226"/>
    </row>
    <row r="150" ht="22.5" customHeight="1">
      <c r="A150" s="233"/>
      <c r="B150" s="234"/>
      <c r="C150" s="234"/>
      <c r="D150" s="226"/>
      <c r="E150" s="226"/>
    </row>
    <row r="151" ht="22.5" customHeight="1">
      <c r="A151" s="233"/>
      <c r="B151" s="234"/>
      <c r="C151" s="234"/>
      <c r="D151" s="226"/>
      <c r="E151" s="226"/>
    </row>
    <row r="152" ht="22.5" customHeight="1">
      <c r="A152" s="233"/>
      <c r="B152" s="234"/>
      <c r="C152" s="234"/>
      <c r="D152" s="226"/>
      <c r="E152" s="226"/>
    </row>
    <row r="153" ht="22.5" customHeight="1">
      <c r="A153" s="233"/>
      <c r="B153" s="234"/>
      <c r="C153" s="234"/>
      <c r="D153" s="226"/>
      <c r="E153" s="226"/>
    </row>
    <row r="154" ht="22.5" customHeight="1">
      <c r="A154" s="233"/>
      <c r="B154" s="234"/>
      <c r="C154" s="234"/>
      <c r="D154" s="226"/>
      <c r="E154" s="226"/>
    </row>
    <row r="155" ht="22.5" customHeight="1">
      <c r="A155" s="233"/>
      <c r="B155" s="234"/>
      <c r="C155" s="234"/>
      <c r="D155" s="226"/>
      <c r="E155" s="226"/>
    </row>
    <row r="156" ht="22.5" customHeight="1">
      <c r="A156" s="233"/>
      <c r="B156" s="234"/>
      <c r="C156" s="234"/>
      <c r="D156" s="226"/>
      <c r="E156" s="226"/>
    </row>
    <row r="157" ht="22.5" customHeight="1">
      <c r="A157" s="233"/>
      <c r="B157" s="234"/>
      <c r="C157" s="234"/>
      <c r="D157" s="226"/>
      <c r="E157" s="226"/>
    </row>
    <row r="158" ht="22.5" customHeight="1">
      <c r="A158" s="233"/>
      <c r="B158" s="234"/>
      <c r="C158" s="234"/>
      <c r="D158" s="226"/>
      <c r="E158" s="226"/>
    </row>
    <row r="159" ht="22.5" customHeight="1">
      <c r="A159" s="233"/>
      <c r="B159" s="234"/>
      <c r="C159" s="234"/>
      <c r="D159" s="226"/>
      <c r="E159" s="226"/>
    </row>
    <row r="160" ht="22.5" customHeight="1">
      <c r="A160" s="233"/>
      <c r="B160" s="234"/>
      <c r="C160" s="234"/>
      <c r="D160" s="226"/>
      <c r="E160" s="226"/>
    </row>
    <row r="161" ht="22.5" customHeight="1">
      <c r="A161" s="233"/>
      <c r="B161" s="234"/>
      <c r="C161" s="234"/>
      <c r="D161" s="226"/>
      <c r="E161" s="226"/>
    </row>
    <row r="162" ht="22.5" customHeight="1">
      <c r="A162" s="233"/>
      <c r="B162" s="234"/>
      <c r="C162" s="234"/>
      <c r="D162" s="226"/>
      <c r="E162" s="226"/>
    </row>
    <row r="163" ht="22.5" customHeight="1">
      <c r="A163" s="233"/>
      <c r="B163" s="234"/>
      <c r="C163" s="234"/>
      <c r="D163" s="226"/>
      <c r="E163" s="226"/>
    </row>
    <row r="164" ht="22.5" customHeight="1">
      <c r="A164" s="233"/>
      <c r="B164" s="234"/>
      <c r="C164" s="234"/>
      <c r="D164" s="226"/>
      <c r="E164" s="226"/>
    </row>
    <row r="165" ht="22.5" customHeight="1">
      <c r="A165" s="233"/>
      <c r="B165" s="234"/>
      <c r="C165" s="234"/>
      <c r="D165" s="226"/>
      <c r="E165" s="226"/>
    </row>
    <row r="166" ht="22.5" customHeight="1">
      <c r="A166" s="233"/>
      <c r="B166" s="234"/>
      <c r="C166" s="234"/>
      <c r="D166" s="226"/>
      <c r="E166" s="226"/>
    </row>
    <row r="167" ht="22.5" customHeight="1">
      <c r="A167" s="233"/>
      <c r="B167" s="234"/>
      <c r="C167" s="234"/>
      <c r="D167" s="226"/>
      <c r="E167" s="226"/>
    </row>
    <row r="168" ht="22.5" customHeight="1">
      <c r="A168" s="233"/>
      <c r="B168" s="234"/>
      <c r="C168" s="234"/>
      <c r="D168" s="226"/>
      <c r="E168" s="226"/>
    </row>
    <row r="169" ht="22.5" customHeight="1">
      <c r="A169" s="233"/>
      <c r="B169" s="234"/>
      <c r="C169" s="234"/>
      <c r="D169" s="226"/>
      <c r="E169" s="226"/>
    </row>
    <row r="170" ht="22.5" customHeight="1">
      <c r="A170" s="233"/>
      <c r="B170" s="234"/>
      <c r="C170" s="234"/>
      <c r="D170" s="226"/>
      <c r="E170" s="226"/>
    </row>
    <row r="171" ht="22.5" customHeight="1">
      <c r="A171" s="233"/>
      <c r="B171" s="234"/>
      <c r="C171" s="234"/>
      <c r="D171" s="226"/>
      <c r="E171" s="226"/>
    </row>
    <row r="172" ht="22.5" customHeight="1">
      <c r="A172" s="233"/>
      <c r="B172" s="234"/>
      <c r="C172" s="234"/>
      <c r="D172" s="226"/>
      <c r="E172" s="226"/>
    </row>
    <row r="173" ht="22.5" customHeight="1">
      <c r="A173" s="233"/>
      <c r="B173" s="234"/>
      <c r="C173" s="234"/>
      <c r="D173" s="226"/>
      <c r="E173" s="226"/>
    </row>
    <row r="174" ht="22.5" customHeight="1">
      <c r="A174" s="233"/>
      <c r="B174" s="234"/>
      <c r="C174" s="234"/>
      <c r="D174" s="226"/>
      <c r="E174" s="226"/>
    </row>
    <row r="175" ht="22.5" customHeight="1">
      <c r="A175" s="233"/>
      <c r="B175" s="234"/>
      <c r="C175" s="234"/>
      <c r="D175" s="226"/>
      <c r="E175" s="226"/>
    </row>
    <row r="176" ht="22.5" customHeight="1">
      <c r="A176" s="233"/>
      <c r="B176" s="234"/>
      <c r="C176" s="234"/>
      <c r="D176" s="226"/>
      <c r="E176" s="226"/>
    </row>
    <row r="177" ht="22.5" customHeight="1">
      <c r="A177" s="233"/>
      <c r="B177" s="234"/>
      <c r="C177" s="234"/>
      <c r="D177" s="226"/>
      <c r="E177" s="226"/>
    </row>
    <row r="178" ht="22.5" customHeight="1">
      <c r="A178" s="233"/>
      <c r="B178" s="234"/>
      <c r="C178" s="234"/>
      <c r="D178" s="226"/>
      <c r="E178" s="226"/>
    </row>
    <row r="179" ht="22.5" customHeight="1">
      <c r="A179" s="233"/>
      <c r="B179" s="234"/>
      <c r="C179" s="234"/>
      <c r="D179" s="226"/>
      <c r="E179" s="226"/>
    </row>
    <row r="180" ht="22.5" customHeight="1">
      <c r="A180" s="233"/>
      <c r="B180" s="234"/>
      <c r="C180" s="234"/>
      <c r="D180" s="226"/>
      <c r="E180" s="226"/>
    </row>
    <row r="181" ht="22.5" customHeight="1">
      <c r="A181" s="233"/>
      <c r="B181" s="234"/>
      <c r="C181" s="234"/>
      <c r="D181" s="226"/>
      <c r="E181" s="226"/>
    </row>
    <row r="182" ht="22.5" customHeight="1">
      <c r="A182" s="233"/>
      <c r="B182" s="234"/>
      <c r="C182" s="234"/>
      <c r="D182" s="226"/>
      <c r="E182" s="226"/>
    </row>
    <row r="183" ht="22.5" customHeight="1">
      <c r="A183" s="233"/>
      <c r="B183" s="234"/>
      <c r="C183" s="234"/>
      <c r="D183" s="226"/>
      <c r="E183" s="226"/>
    </row>
    <row r="184" ht="22.5" customHeight="1">
      <c r="A184" s="233"/>
      <c r="B184" s="234"/>
      <c r="C184" s="234"/>
      <c r="D184" s="226"/>
      <c r="E184" s="226"/>
    </row>
    <row r="185" ht="22.5" customHeight="1">
      <c r="A185" s="233"/>
      <c r="B185" s="234"/>
      <c r="C185" s="234"/>
      <c r="D185" s="226"/>
      <c r="E185" s="226"/>
    </row>
    <row r="186" ht="22.5" customHeight="1">
      <c r="A186" s="233"/>
      <c r="B186" s="234"/>
      <c r="C186" s="234"/>
      <c r="D186" s="226"/>
      <c r="E186" s="226"/>
    </row>
    <row r="187" ht="22.5" customHeight="1">
      <c r="A187" s="233"/>
      <c r="B187" s="234"/>
      <c r="C187" s="234"/>
      <c r="D187" s="226"/>
      <c r="E187" s="226"/>
    </row>
    <row r="188" ht="22.5" customHeight="1">
      <c r="A188" s="233"/>
      <c r="B188" s="234"/>
      <c r="C188" s="234"/>
      <c r="D188" s="226"/>
      <c r="E188" s="226"/>
    </row>
    <row r="189" ht="22.5" customHeight="1">
      <c r="A189" s="233"/>
      <c r="B189" s="234"/>
      <c r="C189" s="234"/>
      <c r="D189" s="226"/>
      <c r="E189" s="226"/>
    </row>
    <row r="190" ht="22.5" customHeight="1">
      <c r="A190" s="233"/>
      <c r="B190" s="234"/>
      <c r="C190" s="234"/>
      <c r="D190" s="226"/>
      <c r="E190" s="226"/>
    </row>
    <row r="191" ht="22.5" customHeight="1">
      <c r="A191" s="233"/>
      <c r="B191" s="234"/>
      <c r="C191" s="234"/>
      <c r="D191" s="226"/>
      <c r="E191" s="226"/>
    </row>
    <row r="192" ht="22.5" customHeight="1">
      <c r="A192" s="233"/>
      <c r="B192" s="234"/>
      <c r="C192" s="234"/>
      <c r="D192" s="226"/>
      <c r="E192" s="226"/>
    </row>
    <row r="193" ht="22.5" customHeight="1">
      <c r="A193" s="233"/>
      <c r="B193" s="234"/>
      <c r="C193" s="234"/>
      <c r="D193" s="226"/>
      <c r="E193" s="226"/>
    </row>
    <row r="194" ht="22.5" customHeight="1">
      <c r="A194" s="233"/>
      <c r="B194" s="234"/>
      <c r="C194" s="234"/>
      <c r="D194" s="226"/>
      <c r="E194" s="226"/>
    </row>
    <row r="195" ht="22.5" customHeight="1">
      <c r="A195" s="233"/>
      <c r="B195" s="234"/>
      <c r="C195" s="234"/>
      <c r="D195" s="226"/>
      <c r="E195" s="226"/>
    </row>
    <row r="196" ht="22.5" customHeight="1">
      <c r="A196" s="233"/>
      <c r="B196" s="234"/>
      <c r="C196" s="234"/>
      <c r="D196" s="226"/>
      <c r="E196" s="226"/>
    </row>
    <row r="197" ht="22.5" customHeight="1">
      <c r="A197" s="233"/>
      <c r="B197" s="234"/>
      <c r="C197" s="234"/>
      <c r="D197" s="226"/>
      <c r="E197" s="226"/>
    </row>
    <row r="198" ht="22.5" customHeight="1">
      <c r="A198" s="233"/>
      <c r="B198" s="234"/>
      <c r="C198" s="234"/>
      <c r="D198" s="226"/>
      <c r="E198" s="226"/>
    </row>
    <row r="199" ht="22.5" customHeight="1">
      <c r="A199" s="233"/>
      <c r="B199" s="234"/>
      <c r="C199" s="234"/>
      <c r="D199" s="226"/>
      <c r="E199" s="226"/>
    </row>
    <row r="200" ht="22.5" customHeight="1">
      <c r="A200" s="233"/>
      <c r="B200" s="234"/>
      <c r="C200" s="234"/>
      <c r="D200" s="226"/>
      <c r="E200" s="226"/>
    </row>
    <row r="201" ht="22.5" customHeight="1">
      <c r="A201" s="233"/>
      <c r="B201" s="234"/>
      <c r="C201" s="234"/>
      <c r="D201" s="226"/>
      <c r="E201" s="226"/>
    </row>
    <row r="202" ht="22.5" customHeight="1">
      <c r="A202" s="233"/>
      <c r="B202" s="234"/>
      <c r="C202" s="234"/>
      <c r="D202" s="226"/>
      <c r="E202" s="226"/>
    </row>
    <row r="203" ht="22.5" customHeight="1">
      <c r="A203" s="233"/>
      <c r="B203" s="234"/>
      <c r="C203" s="234"/>
      <c r="D203" s="226"/>
      <c r="E203" s="226"/>
    </row>
    <row r="204" ht="22.5" customHeight="1">
      <c r="A204" s="233"/>
      <c r="B204" s="234"/>
      <c r="C204" s="234"/>
      <c r="D204" s="226"/>
      <c r="E204" s="226"/>
    </row>
    <row r="205" ht="22.5" customHeight="1">
      <c r="A205" s="233"/>
      <c r="B205" s="234"/>
      <c r="C205" s="234"/>
      <c r="D205" s="226"/>
      <c r="E205" s="226"/>
    </row>
    <row r="206" ht="22.5" customHeight="1">
      <c r="A206" s="233"/>
      <c r="B206" s="234"/>
      <c r="C206" s="234"/>
      <c r="D206" s="226"/>
      <c r="E206" s="226"/>
    </row>
    <row r="207" ht="22.5" customHeight="1">
      <c r="A207" s="233"/>
      <c r="B207" s="234"/>
      <c r="C207" s="234"/>
      <c r="D207" s="226"/>
      <c r="E207" s="226"/>
    </row>
    <row r="208" ht="22.5" customHeight="1">
      <c r="A208" s="233"/>
      <c r="B208" s="234"/>
      <c r="C208" s="234"/>
      <c r="D208" s="226"/>
      <c r="E208" s="226"/>
    </row>
    <row r="209" ht="22.5" customHeight="1">
      <c r="A209" s="233"/>
      <c r="B209" s="234"/>
      <c r="C209" s="234"/>
      <c r="D209" s="226"/>
      <c r="E209" s="226"/>
    </row>
    <row r="210" ht="22.5" customHeight="1">
      <c r="A210" s="233"/>
      <c r="B210" s="234"/>
      <c r="C210" s="234"/>
      <c r="D210" s="226"/>
      <c r="E210" s="226"/>
    </row>
    <row r="211" ht="22.5" customHeight="1">
      <c r="A211" s="233"/>
      <c r="B211" s="234"/>
      <c r="C211" s="234"/>
      <c r="D211" s="226"/>
      <c r="E211" s="226"/>
    </row>
    <row r="212" ht="22.5" customHeight="1">
      <c r="A212" s="233"/>
      <c r="B212" s="234"/>
      <c r="C212" s="234"/>
      <c r="D212" s="226"/>
      <c r="E212" s="226"/>
    </row>
    <row r="213" ht="22.5" customHeight="1">
      <c r="A213" s="233"/>
      <c r="B213" s="234"/>
      <c r="C213" s="234"/>
      <c r="D213" s="226"/>
      <c r="E213" s="226"/>
    </row>
    <row r="214" ht="22.5" customHeight="1">
      <c r="A214" s="233"/>
      <c r="B214" s="234"/>
      <c r="C214" s="234"/>
      <c r="D214" s="226"/>
      <c r="E214" s="226"/>
    </row>
    <row r="215" ht="22.5" customHeight="1">
      <c r="A215" s="233"/>
      <c r="B215" s="234"/>
      <c r="C215" s="234"/>
      <c r="D215" s="226"/>
      <c r="E215" s="226"/>
    </row>
    <row r="216" ht="22.5" customHeight="1">
      <c r="A216" s="233"/>
      <c r="B216" s="234"/>
      <c r="C216" s="234"/>
      <c r="D216" s="226"/>
      <c r="E216" s="226"/>
    </row>
    <row r="217" ht="22.5" customHeight="1">
      <c r="A217" s="233"/>
      <c r="B217" s="234"/>
      <c r="C217" s="234"/>
      <c r="D217" s="226"/>
      <c r="E217" s="226"/>
    </row>
    <row r="218" ht="22.5" customHeight="1">
      <c r="A218" s="233"/>
      <c r="B218" s="234"/>
      <c r="C218" s="234"/>
      <c r="D218" s="226"/>
      <c r="E218" s="226"/>
    </row>
    <row r="219" ht="22.5" customHeight="1">
      <c r="A219" s="233"/>
      <c r="B219" s="234"/>
      <c r="C219" s="234"/>
      <c r="D219" s="226"/>
      <c r="E219" s="226"/>
    </row>
    <row r="220" ht="22.5" customHeight="1">
      <c r="A220" s="233"/>
      <c r="B220" s="234"/>
      <c r="C220" s="234"/>
      <c r="D220" s="226"/>
      <c r="E220" s="226"/>
    </row>
    <row r="221" ht="22.5" customHeight="1">
      <c r="A221" s="233"/>
      <c r="B221" s="234"/>
      <c r="C221" s="234"/>
      <c r="D221" s="226"/>
      <c r="E221" s="226"/>
    </row>
    <row r="222" ht="22.5" customHeight="1">
      <c r="A222" s="233"/>
      <c r="B222" s="234"/>
      <c r="C222" s="234"/>
      <c r="D222" s="226"/>
      <c r="E222" s="226"/>
    </row>
    <row r="223" ht="22.5" customHeight="1">
      <c r="A223" s="233"/>
      <c r="B223" s="234"/>
      <c r="C223" s="234"/>
      <c r="D223" s="226"/>
      <c r="E223" s="226"/>
    </row>
    <row r="224" ht="22.5" customHeight="1">
      <c r="A224" s="233"/>
      <c r="B224" s="234"/>
      <c r="C224" s="234"/>
      <c r="D224" s="226"/>
      <c r="E224" s="226"/>
    </row>
    <row r="225" ht="22.5" customHeight="1">
      <c r="A225" s="233"/>
      <c r="B225" s="234"/>
      <c r="C225" s="234"/>
      <c r="D225" s="226"/>
      <c r="E225" s="226"/>
    </row>
    <row r="226" ht="22.5" customHeight="1">
      <c r="A226" s="233"/>
      <c r="B226" s="234"/>
      <c r="C226" s="234"/>
      <c r="D226" s="226"/>
      <c r="E226" s="226"/>
    </row>
    <row r="227" ht="22.5" customHeight="1">
      <c r="A227" s="233"/>
      <c r="B227" s="234"/>
      <c r="C227" s="234"/>
      <c r="D227" s="226"/>
      <c r="E227" s="226"/>
    </row>
    <row r="228" ht="22.5" customHeight="1">
      <c r="A228" s="233"/>
      <c r="B228" s="234"/>
      <c r="C228" s="234"/>
      <c r="D228" s="226"/>
      <c r="E228" s="226"/>
    </row>
    <row r="229" ht="22.5" customHeight="1">
      <c r="A229" s="233"/>
      <c r="B229" s="234"/>
      <c r="C229" s="234"/>
      <c r="D229" s="226"/>
      <c r="E229" s="226"/>
    </row>
    <row r="230" ht="22.5" customHeight="1">
      <c r="A230" s="233"/>
      <c r="B230" s="234"/>
      <c r="C230" s="234"/>
      <c r="D230" s="226"/>
      <c r="E230" s="226"/>
    </row>
    <row r="231" ht="22.5" customHeight="1">
      <c r="A231" s="233"/>
      <c r="B231" s="234"/>
      <c r="C231" s="234"/>
      <c r="D231" s="226"/>
      <c r="E231" s="226"/>
    </row>
    <row r="232" ht="22.5" customHeight="1">
      <c r="A232" s="233"/>
      <c r="B232" s="234"/>
      <c r="C232" s="234"/>
      <c r="D232" s="226"/>
      <c r="E232" s="226"/>
    </row>
    <row r="233" ht="22.5" customHeight="1">
      <c r="A233" s="233"/>
      <c r="B233" s="234"/>
      <c r="C233" s="234"/>
      <c r="D233" s="226"/>
      <c r="E233" s="226"/>
    </row>
    <row r="234" ht="22.5" customHeight="1">
      <c r="A234" s="233"/>
      <c r="B234" s="234"/>
      <c r="C234" s="234"/>
      <c r="D234" s="226"/>
      <c r="E234" s="226"/>
    </row>
    <row r="235" ht="22.5" customHeight="1">
      <c r="A235" s="233"/>
      <c r="B235" s="234"/>
      <c r="C235" s="234"/>
      <c r="D235" s="226"/>
      <c r="E235" s="226"/>
    </row>
    <row r="236" ht="22.5" customHeight="1">
      <c r="A236" s="233"/>
      <c r="B236" s="234"/>
      <c r="C236" s="234"/>
      <c r="D236" s="226"/>
      <c r="E236" s="226"/>
    </row>
    <row r="237" ht="22.5" customHeight="1">
      <c r="A237" s="233"/>
      <c r="B237" s="234"/>
      <c r="C237" s="234"/>
      <c r="D237" s="226"/>
      <c r="E237" s="226"/>
    </row>
    <row r="238" ht="22.5" customHeight="1">
      <c r="A238" s="233"/>
      <c r="B238" s="234"/>
      <c r="C238" s="234"/>
      <c r="D238" s="226"/>
      <c r="E238" s="226"/>
    </row>
    <row r="239" ht="22.5" customHeight="1">
      <c r="A239" s="233"/>
      <c r="B239" s="234"/>
      <c r="C239" s="234"/>
      <c r="D239" s="226"/>
      <c r="E239" s="226"/>
    </row>
    <row r="240" ht="22.5" customHeight="1">
      <c r="A240" s="233"/>
      <c r="B240" s="234"/>
      <c r="C240" s="234"/>
      <c r="D240" s="226"/>
      <c r="E240" s="226"/>
    </row>
    <row r="241" ht="22.5" customHeight="1">
      <c r="A241" s="233"/>
      <c r="B241" s="234"/>
      <c r="C241" s="234"/>
      <c r="D241" s="226"/>
      <c r="E241" s="226"/>
    </row>
    <row r="242" ht="22.5" customHeight="1">
      <c r="A242" s="233"/>
      <c r="B242" s="234"/>
      <c r="C242" s="234"/>
      <c r="D242" s="226"/>
      <c r="E242" s="226"/>
    </row>
    <row r="243" ht="22.5" customHeight="1">
      <c r="A243" s="233"/>
      <c r="B243" s="234"/>
      <c r="C243" s="234"/>
      <c r="D243" s="226"/>
      <c r="E243" s="226"/>
    </row>
    <row r="244" ht="22.5" customHeight="1">
      <c r="A244" s="233"/>
      <c r="B244" s="234"/>
      <c r="C244" s="234"/>
      <c r="D244" s="226"/>
      <c r="E244" s="226"/>
    </row>
    <row r="245" ht="22.5" customHeight="1">
      <c r="A245" s="233"/>
      <c r="B245" s="234"/>
      <c r="C245" s="234"/>
      <c r="D245" s="226"/>
      <c r="E245" s="226"/>
    </row>
    <row r="246" ht="22.5" customHeight="1">
      <c r="A246" s="233"/>
      <c r="B246" s="234"/>
      <c r="C246" s="234"/>
      <c r="D246" s="226"/>
      <c r="E246" s="226"/>
    </row>
    <row r="247" ht="22.5" customHeight="1">
      <c r="A247" s="233"/>
      <c r="B247" s="234"/>
      <c r="C247" s="234"/>
      <c r="D247" s="226"/>
      <c r="E247" s="226"/>
    </row>
    <row r="248" ht="22.5" customHeight="1">
      <c r="A248" s="233"/>
      <c r="B248" s="234"/>
      <c r="C248" s="234"/>
      <c r="D248" s="226"/>
      <c r="E248" s="226"/>
    </row>
    <row r="249" ht="22.5" customHeight="1">
      <c r="A249" s="233"/>
      <c r="B249" s="234"/>
      <c r="C249" s="234"/>
      <c r="D249" s="226"/>
      <c r="E249" s="226"/>
    </row>
    <row r="250" ht="22.5" customHeight="1">
      <c r="A250" s="233"/>
      <c r="B250" s="234"/>
      <c r="C250" s="234"/>
      <c r="D250" s="226"/>
      <c r="E250" s="226"/>
    </row>
    <row r="251" ht="22.5" customHeight="1">
      <c r="A251" s="233"/>
      <c r="B251" s="234"/>
      <c r="C251" s="234"/>
      <c r="D251" s="226"/>
      <c r="E251" s="226"/>
    </row>
    <row r="252" ht="22.5" customHeight="1">
      <c r="A252" s="233"/>
      <c r="B252" s="234"/>
      <c r="C252" s="234"/>
      <c r="D252" s="226"/>
      <c r="E252" s="226"/>
    </row>
    <row r="253" ht="22.5" customHeight="1">
      <c r="A253" s="233"/>
      <c r="B253" s="234"/>
      <c r="C253" s="234"/>
      <c r="D253" s="226"/>
      <c r="E253" s="226"/>
    </row>
    <row r="254" ht="22.5" customHeight="1">
      <c r="A254" s="233"/>
      <c r="B254" s="234"/>
      <c r="C254" s="234"/>
      <c r="D254" s="226"/>
      <c r="E254" s="226"/>
    </row>
    <row r="255" ht="22.5" customHeight="1">
      <c r="A255" s="233"/>
      <c r="B255" s="234"/>
      <c r="C255" s="234"/>
      <c r="D255" s="226"/>
      <c r="E255" s="226"/>
    </row>
    <row r="256" ht="22.5" customHeight="1">
      <c r="A256" s="233"/>
      <c r="B256" s="234"/>
      <c r="C256" s="234"/>
      <c r="D256" s="226"/>
      <c r="E256" s="226"/>
    </row>
    <row r="257" ht="22.5" customHeight="1">
      <c r="A257" s="233"/>
      <c r="B257" s="234"/>
      <c r="C257" s="234"/>
      <c r="D257" s="226"/>
      <c r="E257" s="226"/>
    </row>
    <row r="258" ht="22.5" customHeight="1">
      <c r="A258" s="233"/>
      <c r="B258" s="234"/>
      <c r="C258" s="234"/>
      <c r="D258" s="226"/>
      <c r="E258" s="226"/>
    </row>
    <row r="259" ht="22.5" customHeight="1">
      <c r="A259" s="233"/>
      <c r="B259" s="234"/>
      <c r="C259" s="234"/>
      <c r="D259" s="226"/>
      <c r="E259" s="226"/>
    </row>
    <row r="260" ht="22.5" customHeight="1">
      <c r="A260" s="233"/>
      <c r="B260" s="234"/>
      <c r="C260" s="234"/>
      <c r="D260" s="226"/>
      <c r="E260" s="226"/>
    </row>
    <row r="261" ht="22.5" customHeight="1">
      <c r="A261" s="233"/>
      <c r="B261" s="234"/>
      <c r="C261" s="234"/>
      <c r="D261" s="226"/>
      <c r="E261" s="226"/>
    </row>
    <row r="262" ht="22.5" customHeight="1">
      <c r="A262" s="233"/>
      <c r="B262" s="234"/>
      <c r="C262" s="234"/>
      <c r="D262" s="226"/>
      <c r="E262" s="226"/>
    </row>
    <row r="263" ht="22.5" customHeight="1">
      <c r="A263" s="233"/>
      <c r="B263" s="234"/>
      <c r="C263" s="234"/>
      <c r="D263" s="226"/>
      <c r="E263" s="226"/>
    </row>
    <row r="264" ht="22.5" customHeight="1">
      <c r="A264" s="233"/>
      <c r="B264" s="234"/>
      <c r="C264" s="234"/>
      <c r="D264" s="226"/>
      <c r="E264" s="226"/>
    </row>
    <row r="265" ht="22.5" customHeight="1">
      <c r="A265" s="233"/>
      <c r="B265" s="234"/>
      <c r="C265" s="234"/>
      <c r="D265" s="226"/>
      <c r="E265" s="226"/>
    </row>
    <row r="266" ht="22.5" customHeight="1">
      <c r="A266" s="233"/>
      <c r="B266" s="234"/>
      <c r="C266" s="234"/>
      <c r="D266" s="226"/>
      <c r="E266" s="226"/>
    </row>
    <row r="267" ht="22.5" customHeight="1">
      <c r="A267" s="233"/>
      <c r="B267" s="234"/>
      <c r="C267" s="234"/>
      <c r="D267" s="226"/>
      <c r="E267" s="226"/>
    </row>
    <row r="268" ht="22.5" customHeight="1">
      <c r="A268" s="233"/>
      <c r="B268" s="234"/>
      <c r="C268" s="234"/>
      <c r="D268" s="226"/>
      <c r="E268" s="226"/>
    </row>
    <row r="269" ht="22.5" customHeight="1">
      <c r="A269" s="233"/>
      <c r="B269" s="234"/>
      <c r="C269" s="234"/>
      <c r="D269" s="226"/>
      <c r="E269" s="226"/>
    </row>
    <row r="270" ht="22.5" customHeight="1">
      <c r="A270" s="233"/>
      <c r="B270" s="234"/>
      <c r="C270" s="234"/>
      <c r="D270" s="226"/>
      <c r="E270" s="226"/>
    </row>
    <row r="271" ht="22.5" customHeight="1">
      <c r="A271" s="233"/>
      <c r="B271" s="234"/>
      <c r="C271" s="234"/>
      <c r="D271" s="226"/>
      <c r="E271" s="226"/>
    </row>
    <row r="272" ht="22.5" customHeight="1">
      <c r="A272" s="233"/>
      <c r="B272" s="234"/>
      <c r="C272" s="234"/>
      <c r="D272" s="226"/>
      <c r="E272" s="226"/>
    </row>
    <row r="273" ht="22.5" customHeight="1">
      <c r="A273" s="233"/>
      <c r="B273" s="234"/>
      <c r="C273" s="234"/>
      <c r="D273" s="226"/>
      <c r="E273" s="226"/>
    </row>
    <row r="274" ht="22.5" customHeight="1">
      <c r="A274" s="233"/>
      <c r="B274" s="234"/>
      <c r="C274" s="234"/>
      <c r="D274" s="226"/>
      <c r="E274" s="226"/>
    </row>
    <row r="275" ht="22.5" customHeight="1">
      <c r="A275" s="233"/>
      <c r="B275" s="234"/>
      <c r="C275" s="234"/>
      <c r="D275" s="226"/>
      <c r="E275" s="226"/>
    </row>
    <row r="276" ht="22.5" customHeight="1">
      <c r="A276" s="233"/>
      <c r="B276" s="234"/>
      <c r="C276" s="234"/>
      <c r="D276" s="226"/>
      <c r="E276" s="226"/>
    </row>
    <row r="277" ht="22.5" customHeight="1">
      <c r="A277" s="233"/>
      <c r="B277" s="234"/>
      <c r="C277" s="234"/>
      <c r="D277" s="226"/>
      <c r="E277" s="226"/>
    </row>
    <row r="278" ht="22.5" customHeight="1">
      <c r="A278" s="233"/>
      <c r="B278" s="234"/>
      <c r="C278" s="234"/>
      <c r="D278" s="226"/>
      <c r="E278" s="226"/>
    </row>
    <row r="279" ht="22.5" customHeight="1">
      <c r="A279" s="233"/>
      <c r="B279" s="234"/>
      <c r="C279" s="234"/>
      <c r="D279" s="226"/>
      <c r="E279" s="226"/>
    </row>
    <row r="280" ht="22.5" customHeight="1">
      <c r="A280" s="233"/>
      <c r="B280" s="234"/>
      <c r="C280" s="234"/>
      <c r="D280" s="226"/>
      <c r="E280" s="226"/>
    </row>
    <row r="281" ht="22.5" customHeight="1">
      <c r="A281" s="233"/>
      <c r="B281" s="234"/>
      <c r="C281" s="234"/>
      <c r="D281" s="226"/>
      <c r="E281" s="226"/>
    </row>
    <row r="282" ht="22.5" customHeight="1">
      <c r="A282" s="233"/>
      <c r="B282" s="234"/>
      <c r="C282" s="234"/>
      <c r="D282" s="226"/>
      <c r="E282" s="226"/>
    </row>
    <row r="283" ht="22.5" customHeight="1">
      <c r="A283" s="233"/>
      <c r="B283" s="234"/>
      <c r="C283" s="234"/>
      <c r="D283" s="226"/>
      <c r="E283" s="226"/>
    </row>
    <row r="284" ht="22.5" customHeight="1">
      <c r="A284" s="233"/>
      <c r="B284" s="234"/>
      <c r="C284" s="234"/>
      <c r="D284" s="226"/>
      <c r="E284" s="226"/>
    </row>
    <row r="285" ht="22.5" customHeight="1">
      <c r="A285" s="233"/>
      <c r="B285" s="234"/>
      <c r="C285" s="234"/>
      <c r="D285" s="226"/>
      <c r="E285" s="226"/>
    </row>
    <row r="286" ht="22.5" customHeight="1">
      <c r="A286" s="233"/>
      <c r="B286" s="234"/>
      <c r="C286" s="234"/>
      <c r="D286" s="226"/>
      <c r="E286" s="226"/>
    </row>
    <row r="287" ht="22.5" customHeight="1">
      <c r="A287" s="233"/>
      <c r="B287" s="234"/>
      <c r="C287" s="234"/>
      <c r="D287" s="226"/>
      <c r="E287" s="226"/>
    </row>
    <row r="288" ht="22.5" customHeight="1">
      <c r="A288" s="233"/>
      <c r="B288" s="234"/>
      <c r="C288" s="234"/>
      <c r="D288" s="226"/>
      <c r="E288" s="226"/>
    </row>
    <row r="289" ht="22.5" customHeight="1">
      <c r="A289" s="233"/>
      <c r="B289" s="234"/>
      <c r="C289" s="234"/>
      <c r="D289" s="226"/>
      <c r="E289" s="226"/>
    </row>
    <row r="290" ht="22.5" customHeight="1">
      <c r="A290" s="233"/>
      <c r="B290" s="234"/>
      <c r="C290" s="234"/>
      <c r="D290" s="226"/>
      <c r="E290" s="226"/>
    </row>
    <row r="291" ht="22.5" customHeight="1">
      <c r="A291" s="233"/>
      <c r="B291" s="234"/>
      <c r="C291" s="234"/>
      <c r="D291" s="226"/>
      <c r="E291" s="226"/>
    </row>
    <row r="292" ht="22.5" customHeight="1">
      <c r="A292" s="233"/>
      <c r="B292" s="234"/>
      <c r="C292" s="234"/>
      <c r="D292" s="226"/>
      <c r="E292" s="226"/>
    </row>
    <row r="293" ht="22.5" customHeight="1">
      <c r="A293" s="233"/>
      <c r="B293" s="234"/>
      <c r="C293" s="234"/>
      <c r="D293" s="226"/>
      <c r="E293" s="226"/>
    </row>
    <row r="294" ht="22.5" customHeight="1">
      <c r="A294" s="233"/>
      <c r="B294" s="234"/>
      <c r="C294" s="234"/>
      <c r="D294" s="226"/>
      <c r="E294" s="226"/>
    </row>
    <row r="295" ht="22.5" customHeight="1">
      <c r="A295" s="233"/>
      <c r="B295" s="234"/>
      <c r="C295" s="234"/>
      <c r="D295" s="226"/>
      <c r="E295" s="226"/>
    </row>
    <row r="296" ht="22.5" customHeight="1">
      <c r="A296" s="233"/>
      <c r="B296" s="234"/>
      <c r="C296" s="234"/>
      <c r="D296" s="226"/>
      <c r="E296" s="226"/>
    </row>
    <row r="297" ht="22.5" customHeight="1">
      <c r="A297" s="233"/>
      <c r="B297" s="234"/>
      <c r="C297" s="234"/>
      <c r="D297" s="226"/>
      <c r="E297" s="226"/>
    </row>
    <row r="298" ht="22.5" customHeight="1">
      <c r="A298" s="233"/>
      <c r="B298" s="234"/>
      <c r="C298" s="234"/>
      <c r="D298" s="226"/>
      <c r="E298" s="226"/>
    </row>
    <row r="299" ht="22.5" customHeight="1">
      <c r="A299" s="233"/>
      <c r="B299" s="234"/>
      <c r="C299" s="234"/>
      <c r="D299" s="226"/>
      <c r="E299" s="226"/>
    </row>
    <row r="300" ht="22.5" customHeight="1">
      <c r="A300" s="233"/>
      <c r="B300" s="234"/>
      <c r="C300" s="234"/>
      <c r="D300" s="226"/>
      <c r="E300" s="226"/>
    </row>
    <row r="301" ht="22.5" customHeight="1">
      <c r="A301" s="233"/>
      <c r="B301" s="234"/>
      <c r="C301" s="234"/>
      <c r="D301" s="226"/>
      <c r="E301" s="226"/>
    </row>
    <row r="302" ht="22.5" customHeight="1">
      <c r="A302" s="233"/>
      <c r="B302" s="234"/>
      <c r="C302" s="234"/>
      <c r="D302" s="226"/>
      <c r="E302" s="226"/>
    </row>
    <row r="303" ht="22.5" customHeight="1">
      <c r="A303" s="233"/>
      <c r="B303" s="234"/>
      <c r="C303" s="234"/>
      <c r="D303" s="226"/>
      <c r="E303" s="226"/>
    </row>
    <row r="304" ht="22.5" customHeight="1">
      <c r="A304" s="233"/>
      <c r="B304" s="234"/>
      <c r="C304" s="234"/>
      <c r="D304" s="226"/>
      <c r="E304" s="226"/>
    </row>
    <row r="305" ht="22.5" customHeight="1">
      <c r="A305" s="233"/>
      <c r="B305" s="234"/>
      <c r="C305" s="234"/>
      <c r="D305" s="226"/>
      <c r="E305" s="226"/>
    </row>
    <row r="306" ht="22.5" customHeight="1">
      <c r="A306" s="233"/>
      <c r="B306" s="234"/>
      <c r="C306" s="234"/>
      <c r="D306" s="226"/>
      <c r="E306" s="226"/>
    </row>
    <row r="307" ht="22.5" customHeight="1">
      <c r="A307" s="233"/>
      <c r="B307" s="234"/>
      <c r="C307" s="234"/>
      <c r="D307" s="226"/>
      <c r="E307" s="226"/>
    </row>
    <row r="308" ht="22.5" customHeight="1">
      <c r="A308" s="233"/>
      <c r="B308" s="234"/>
      <c r="C308" s="234"/>
      <c r="D308" s="226"/>
      <c r="E308" s="226"/>
    </row>
    <row r="309" ht="22.5" customHeight="1">
      <c r="A309" s="233"/>
      <c r="B309" s="234"/>
      <c r="C309" s="234"/>
      <c r="D309" s="226"/>
      <c r="E309" s="226"/>
    </row>
    <row r="310" ht="22.5" customHeight="1">
      <c r="A310" s="233"/>
      <c r="B310" s="234"/>
      <c r="C310" s="234"/>
      <c r="D310" s="226"/>
      <c r="E310" s="226"/>
    </row>
    <row r="311" ht="22.5" customHeight="1">
      <c r="A311" s="233"/>
      <c r="B311" s="234"/>
      <c r="C311" s="234"/>
      <c r="D311" s="226"/>
      <c r="E311" s="226"/>
    </row>
    <row r="312" ht="22.5" customHeight="1">
      <c r="A312" s="233"/>
      <c r="B312" s="234"/>
      <c r="C312" s="234"/>
      <c r="D312" s="226"/>
      <c r="E312" s="226"/>
    </row>
    <row r="313" ht="22.5" customHeight="1">
      <c r="A313" s="233"/>
      <c r="B313" s="234"/>
      <c r="C313" s="234"/>
      <c r="D313" s="226"/>
      <c r="E313" s="226"/>
    </row>
    <row r="314" ht="22.5" customHeight="1">
      <c r="A314" s="233"/>
      <c r="B314" s="234"/>
      <c r="C314" s="234"/>
      <c r="D314" s="226"/>
      <c r="E314" s="226"/>
    </row>
    <row r="315" ht="22.5" customHeight="1">
      <c r="A315" s="233"/>
      <c r="B315" s="234"/>
      <c r="C315" s="234"/>
      <c r="D315" s="226"/>
      <c r="E315" s="226"/>
    </row>
    <row r="316" ht="22.5" customHeight="1">
      <c r="A316" s="233"/>
      <c r="B316" s="234"/>
      <c r="C316" s="234"/>
      <c r="D316" s="226"/>
      <c r="E316" s="226"/>
    </row>
    <row r="317" ht="22.5" customHeight="1">
      <c r="A317" s="233"/>
      <c r="B317" s="234"/>
      <c r="C317" s="234"/>
      <c r="D317" s="226"/>
      <c r="E317" s="226"/>
    </row>
    <row r="318" ht="22.5" customHeight="1">
      <c r="A318" s="233"/>
      <c r="B318" s="234"/>
      <c r="C318" s="234"/>
      <c r="D318" s="226"/>
      <c r="E318" s="226"/>
    </row>
    <row r="319" ht="22.5" customHeight="1">
      <c r="A319" s="233"/>
      <c r="B319" s="234"/>
      <c r="C319" s="234"/>
      <c r="D319" s="226"/>
      <c r="E319" s="226"/>
    </row>
    <row r="320" ht="22.5" customHeight="1">
      <c r="A320" s="233"/>
      <c r="B320" s="234"/>
      <c r="C320" s="234"/>
      <c r="D320" s="226"/>
      <c r="E320" s="226"/>
    </row>
    <row r="321" ht="22.5" customHeight="1">
      <c r="A321" s="233"/>
      <c r="B321" s="234"/>
      <c r="C321" s="234"/>
      <c r="D321" s="226"/>
      <c r="E321" s="226"/>
    </row>
    <row r="322" ht="22.5" customHeight="1">
      <c r="A322" s="233"/>
      <c r="B322" s="234"/>
      <c r="C322" s="234"/>
      <c r="D322" s="226"/>
      <c r="E322" s="226"/>
    </row>
    <row r="323" ht="22.5" customHeight="1">
      <c r="A323" s="233"/>
      <c r="B323" s="234"/>
      <c r="C323" s="234"/>
      <c r="D323" s="226"/>
      <c r="E323" s="226"/>
    </row>
    <row r="324" ht="22.5" customHeight="1">
      <c r="A324" s="233"/>
      <c r="B324" s="234"/>
      <c r="C324" s="234"/>
      <c r="D324" s="226"/>
      <c r="E324" s="226"/>
    </row>
    <row r="325" ht="22.5" customHeight="1">
      <c r="A325" s="233"/>
      <c r="B325" s="234"/>
      <c r="C325" s="234"/>
      <c r="D325" s="226"/>
      <c r="E325" s="226"/>
    </row>
    <row r="326" ht="22.5" customHeight="1">
      <c r="A326" s="233"/>
      <c r="B326" s="234"/>
      <c r="C326" s="234"/>
      <c r="D326" s="226"/>
      <c r="E326" s="226"/>
    </row>
    <row r="327" ht="22.5" customHeight="1">
      <c r="A327" s="233"/>
      <c r="B327" s="234"/>
      <c r="C327" s="234"/>
      <c r="D327" s="226"/>
      <c r="E327" s="226"/>
    </row>
    <row r="328" ht="22.5" customHeight="1">
      <c r="A328" s="233"/>
      <c r="B328" s="234"/>
      <c r="C328" s="234"/>
      <c r="D328" s="226"/>
      <c r="E328" s="226"/>
    </row>
    <row r="329" ht="22.5" customHeight="1">
      <c r="A329" s="233"/>
      <c r="B329" s="234"/>
      <c r="C329" s="234"/>
      <c r="D329" s="226"/>
      <c r="E329" s="226"/>
    </row>
    <row r="330" ht="22.5" customHeight="1">
      <c r="A330" s="233"/>
      <c r="B330" s="234"/>
      <c r="C330" s="234"/>
      <c r="D330" s="226"/>
      <c r="E330" s="226"/>
    </row>
    <row r="331" ht="22.5" customHeight="1">
      <c r="A331" s="233"/>
      <c r="B331" s="234"/>
      <c r="C331" s="234"/>
      <c r="D331" s="226"/>
      <c r="E331" s="226"/>
    </row>
    <row r="332" ht="22.5" customHeight="1">
      <c r="A332" s="233"/>
      <c r="B332" s="234"/>
      <c r="C332" s="234"/>
      <c r="D332" s="226"/>
      <c r="E332" s="226"/>
    </row>
    <row r="333" ht="22.5" customHeight="1">
      <c r="A333" s="233"/>
      <c r="B333" s="234"/>
      <c r="C333" s="234"/>
      <c r="D333" s="226"/>
      <c r="E333" s="226"/>
    </row>
    <row r="334" ht="22.5" customHeight="1">
      <c r="A334" s="233"/>
      <c r="B334" s="234"/>
      <c r="C334" s="234"/>
      <c r="D334" s="226"/>
      <c r="E334" s="226"/>
    </row>
    <row r="335" ht="22.5" customHeight="1">
      <c r="A335" s="233"/>
      <c r="B335" s="234"/>
      <c r="C335" s="234"/>
      <c r="D335" s="226"/>
      <c r="E335" s="226"/>
    </row>
    <row r="336" ht="22.5" customHeight="1">
      <c r="A336" s="233"/>
      <c r="B336" s="234"/>
      <c r="C336" s="234"/>
      <c r="D336" s="226"/>
      <c r="E336" s="226"/>
    </row>
    <row r="337" ht="22.5" customHeight="1">
      <c r="A337" s="233"/>
      <c r="B337" s="234"/>
      <c r="C337" s="234"/>
      <c r="D337" s="226"/>
      <c r="E337" s="226"/>
    </row>
    <row r="338" ht="22.5" customHeight="1">
      <c r="A338" s="233"/>
      <c r="B338" s="234"/>
      <c r="C338" s="234"/>
      <c r="D338" s="226"/>
      <c r="E338" s="226"/>
    </row>
    <row r="339" ht="22.5" customHeight="1">
      <c r="A339" s="233"/>
      <c r="B339" s="234"/>
      <c r="C339" s="234"/>
      <c r="D339" s="226"/>
      <c r="E339" s="226"/>
    </row>
    <row r="340" ht="22.5" customHeight="1">
      <c r="A340" s="233"/>
      <c r="B340" s="234"/>
      <c r="C340" s="234"/>
      <c r="D340" s="226"/>
      <c r="E340" s="226"/>
    </row>
    <row r="341" ht="22.5" customHeight="1">
      <c r="A341" s="233"/>
      <c r="B341" s="234"/>
      <c r="C341" s="234"/>
      <c r="D341" s="226"/>
      <c r="E341" s="226"/>
    </row>
    <row r="342" ht="22.5" customHeight="1">
      <c r="A342" s="233"/>
      <c r="B342" s="234"/>
      <c r="C342" s="234"/>
      <c r="D342" s="226"/>
      <c r="E342" s="226"/>
    </row>
    <row r="343" ht="22.5" customHeight="1">
      <c r="A343" s="233"/>
      <c r="B343" s="234"/>
      <c r="C343" s="234"/>
      <c r="D343" s="226"/>
      <c r="E343" s="226"/>
    </row>
    <row r="344" ht="22.5" customHeight="1">
      <c r="A344" s="233"/>
      <c r="B344" s="234"/>
      <c r="C344" s="234"/>
      <c r="D344" s="226"/>
      <c r="E344" s="226"/>
    </row>
    <row r="345" ht="22.5" customHeight="1">
      <c r="A345" s="233"/>
      <c r="B345" s="234"/>
      <c r="C345" s="234"/>
      <c r="D345" s="226"/>
      <c r="E345" s="226"/>
    </row>
    <row r="346" ht="22.5" customHeight="1">
      <c r="A346" s="233"/>
      <c r="B346" s="234"/>
      <c r="C346" s="234"/>
      <c r="D346" s="226"/>
      <c r="E346" s="226"/>
    </row>
    <row r="347" ht="22.5" customHeight="1">
      <c r="A347" s="233"/>
      <c r="B347" s="234"/>
      <c r="C347" s="234"/>
      <c r="D347" s="226"/>
      <c r="E347" s="226"/>
    </row>
    <row r="348" ht="22.5" customHeight="1">
      <c r="A348" s="233"/>
      <c r="B348" s="234"/>
      <c r="C348" s="234"/>
      <c r="D348" s="226"/>
      <c r="E348" s="226"/>
    </row>
    <row r="349" ht="22.5" customHeight="1">
      <c r="A349" s="233"/>
      <c r="B349" s="234"/>
      <c r="C349" s="234"/>
      <c r="D349" s="226"/>
      <c r="E349" s="226"/>
    </row>
    <row r="350" ht="22.5" customHeight="1">
      <c r="A350" s="233"/>
      <c r="B350" s="234"/>
      <c r="C350" s="234"/>
      <c r="D350" s="226"/>
      <c r="E350" s="226"/>
    </row>
    <row r="351" ht="22.5" customHeight="1">
      <c r="A351" s="233"/>
      <c r="B351" s="234"/>
      <c r="C351" s="234"/>
      <c r="D351" s="226"/>
      <c r="E351" s="226"/>
    </row>
    <row r="352" ht="22.5" customHeight="1">
      <c r="A352" s="233"/>
      <c r="B352" s="234"/>
      <c r="C352" s="234"/>
      <c r="D352" s="226"/>
      <c r="E352" s="226"/>
    </row>
    <row r="353" ht="22.5" customHeight="1">
      <c r="A353" s="233"/>
      <c r="B353" s="234"/>
      <c r="C353" s="234"/>
      <c r="D353" s="226"/>
      <c r="E353" s="226"/>
    </row>
    <row r="354" ht="22.5" customHeight="1">
      <c r="A354" s="233"/>
      <c r="B354" s="234"/>
      <c r="C354" s="234"/>
      <c r="D354" s="226"/>
      <c r="E354" s="226"/>
    </row>
    <row r="355" ht="22.5" customHeight="1">
      <c r="A355" s="233"/>
      <c r="B355" s="234"/>
      <c r="C355" s="234"/>
      <c r="D355" s="226"/>
      <c r="E355" s="226"/>
    </row>
    <row r="356" ht="22.5" customHeight="1">
      <c r="A356" s="233"/>
      <c r="B356" s="234"/>
      <c r="C356" s="234"/>
      <c r="D356" s="226"/>
      <c r="E356" s="226"/>
    </row>
    <row r="357" ht="22.5" customHeight="1">
      <c r="A357" s="233"/>
      <c r="B357" s="234"/>
      <c r="C357" s="234"/>
      <c r="D357" s="226"/>
      <c r="E357" s="226"/>
    </row>
    <row r="358" ht="22.5" customHeight="1">
      <c r="A358" s="233"/>
      <c r="B358" s="234"/>
      <c r="C358" s="234"/>
      <c r="D358" s="226"/>
      <c r="E358" s="226"/>
    </row>
    <row r="359" ht="22.5" customHeight="1">
      <c r="A359" s="233"/>
      <c r="B359" s="234"/>
      <c r="C359" s="234"/>
      <c r="D359" s="226"/>
      <c r="E359" s="226"/>
    </row>
    <row r="360" ht="22.5" customHeight="1">
      <c r="A360" s="233"/>
      <c r="B360" s="234"/>
      <c r="C360" s="234"/>
      <c r="D360" s="226"/>
      <c r="E360" s="226"/>
    </row>
    <row r="361" ht="22.5" customHeight="1">
      <c r="A361" s="233"/>
      <c r="B361" s="234"/>
      <c r="C361" s="234"/>
      <c r="D361" s="226"/>
      <c r="E361" s="226"/>
    </row>
    <row r="362" ht="22.5" customHeight="1">
      <c r="A362" s="233"/>
      <c r="B362" s="234"/>
      <c r="C362" s="234"/>
      <c r="D362" s="226"/>
      <c r="E362" s="226"/>
    </row>
    <row r="363" ht="22.5" customHeight="1">
      <c r="A363" s="233"/>
      <c r="B363" s="234"/>
      <c r="C363" s="234"/>
      <c r="D363" s="226"/>
      <c r="E363" s="226"/>
    </row>
    <row r="364" ht="22.5" customHeight="1">
      <c r="A364" s="233"/>
      <c r="B364" s="234"/>
      <c r="C364" s="234"/>
      <c r="D364" s="226"/>
      <c r="E364" s="226"/>
    </row>
    <row r="365" ht="22.5" customHeight="1">
      <c r="A365" s="233"/>
      <c r="B365" s="234"/>
      <c r="C365" s="234"/>
      <c r="D365" s="226"/>
      <c r="E365" s="226"/>
    </row>
    <row r="366" ht="22.5" customHeight="1">
      <c r="A366" s="233"/>
      <c r="B366" s="234"/>
      <c r="C366" s="234"/>
      <c r="D366" s="226"/>
      <c r="E366" s="226"/>
    </row>
    <row r="367" ht="22.5" customHeight="1">
      <c r="A367" s="233"/>
      <c r="B367" s="234"/>
      <c r="C367" s="234"/>
      <c r="D367" s="226"/>
      <c r="E367" s="226"/>
    </row>
    <row r="368" ht="22.5" customHeight="1">
      <c r="A368" s="233"/>
      <c r="B368" s="234"/>
      <c r="C368" s="234"/>
      <c r="D368" s="226"/>
      <c r="E368" s="226"/>
    </row>
    <row r="369" ht="22.5" customHeight="1">
      <c r="A369" s="233"/>
      <c r="B369" s="234"/>
      <c r="C369" s="234"/>
      <c r="D369" s="226"/>
      <c r="E369" s="226"/>
    </row>
    <row r="370" ht="22.5" customHeight="1">
      <c r="A370" s="233"/>
      <c r="B370" s="234"/>
      <c r="C370" s="234"/>
      <c r="D370" s="226"/>
      <c r="E370" s="226"/>
    </row>
    <row r="371" ht="22.5" customHeight="1">
      <c r="A371" s="233"/>
      <c r="B371" s="234"/>
      <c r="C371" s="234"/>
      <c r="D371" s="226"/>
      <c r="E371" s="226"/>
    </row>
    <row r="372" ht="22.5" customHeight="1">
      <c r="A372" s="233"/>
      <c r="B372" s="234"/>
      <c r="C372" s="234"/>
      <c r="D372" s="226"/>
      <c r="E372" s="226"/>
    </row>
    <row r="373" ht="22.5" customHeight="1">
      <c r="A373" s="233"/>
      <c r="B373" s="234"/>
      <c r="C373" s="234"/>
      <c r="D373" s="226"/>
      <c r="E373" s="226"/>
    </row>
    <row r="374" ht="22.5" customHeight="1">
      <c r="A374" s="233"/>
      <c r="B374" s="234"/>
      <c r="C374" s="234"/>
      <c r="D374" s="226"/>
      <c r="E374" s="226"/>
    </row>
    <row r="375" ht="22.5" customHeight="1">
      <c r="A375" s="233"/>
      <c r="B375" s="234"/>
      <c r="C375" s="234"/>
      <c r="D375" s="226"/>
      <c r="E375" s="226"/>
    </row>
    <row r="376" ht="22.5" customHeight="1">
      <c r="A376" s="233"/>
      <c r="B376" s="234"/>
      <c r="C376" s="234"/>
      <c r="D376" s="226"/>
      <c r="E376" s="226"/>
    </row>
    <row r="377" ht="22.5" customHeight="1">
      <c r="A377" s="233"/>
      <c r="B377" s="234"/>
      <c r="C377" s="234"/>
      <c r="D377" s="226"/>
      <c r="E377" s="226"/>
    </row>
    <row r="378" ht="22.5" customHeight="1">
      <c r="A378" s="233"/>
      <c r="B378" s="234"/>
      <c r="C378" s="234"/>
      <c r="D378" s="226"/>
      <c r="E378" s="226"/>
    </row>
    <row r="379" ht="22.5" customHeight="1">
      <c r="A379" s="233"/>
      <c r="B379" s="234"/>
      <c r="C379" s="234"/>
      <c r="D379" s="226"/>
      <c r="E379" s="226"/>
    </row>
    <row r="380" ht="22.5" customHeight="1">
      <c r="A380" s="233"/>
      <c r="B380" s="234"/>
      <c r="C380" s="234"/>
      <c r="D380" s="226"/>
      <c r="E380" s="226"/>
    </row>
    <row r="381" ht="22.5" customHeight="1">
      <c r="A381" s="233"/>
      <c r="B381" s="234"/>
      <c r="C381" s="234"/>
      <c r="D381" s="226"/>
      <c r="E381" s="226"/>
    </row>
    <row r="382" ht="22.5" customHeight="1">
      <c r="A382" s="233"/>
      <c r="B382" s="234"/>
      <c r="C382" s="234"/>
      <c r="D382" s="226"/>
      <c r="E382" s="226"/>
    </row>
    <row r="383" ht="22.5" customHeight="1">
      <c r="A383" s="233"/>
      <c r="B383" s="234"/>
      <c r="C383" s="234"/>
      <c r="D383" s="226"/>
      <c r="E383" s="226"/>
    </row>
    <row r="384" ht="22.5" customHeight="1">
      <c r="A384" s="233"/>
      <c r="B384" s="234"/>
      <c r="C384" s="234"/>
      <c r="D384" s="226"/>
      <c r="E384" s="226"/>
    </row>
    <row r="385" ht="22.5" customHeight="1">
      <c r="A385" s="233"/>
      <c r="B385" s="234"/>
      <c r="C385" s="234"/>
      <c r="D385" s="226"/>
      <c r="E385" s="226"/>
    </row>
    <row r="386" ht="22.5" customHeight="1">
      <c r="A386" s="233"/>
      <c r="B386" s="234"/>
      <c r="C386" s="234"/>
      <c r="D386" s="226"/>
      <c r="E386" s="226"/>
    </row>
    <row r="387" ht="22.5" customHeight="1">
      <c r="A387" s="233"/>
      <c r="B387" s="234"/>
      <c r="C387" s="234"/>
      <c r="D387" s="226"/>
      <c r="E387" s="226"/>
    </row>
    <row r="388" ht="22.5" customHeight="1">
      <c r="A388" s="233"/>
      <c r="B388" s="234"/>
      <c r="C388" s="234"/>
      <c r="D388" s="226"/>
      <c r="E388" s="226"/>
    </row>
    <row r="389" ht="22.5" customHeight="1">
      <c r="A389" s="233"/>
      <c r="B389" s="234"/>
      <c r="C389" s="234"/>
      <c r="D389" s="226"/>
      <c r="E389" s="226"/>
    </row>
    <row r="390" ht="22.5" customHeight="1">
      <c r="A390" s="233"/>
      <c r="B390" s="234"/>
      <c r="C390" s="234"/>
      <c r="D390" s="226"/>
      <c r="E390" s="226"/>
    </row>
    <row r="391" ht="22.5" customHeight="1">
      <c r="A391" s="233"/>
      <c r="B391" s="234"/>
      <c r="C391" s="234"/>
      <c r="D391" s="226"/>
      <c r="E391" s="226"/>
    </row>
    <row r="392" ht="22.5" customHeight="1">
      <c r="A392" s="233"/>
      <c r="B392" s="234"/>
      <c r="C392" s="234"/>
      <c r="D392" s="226"/>
      <c r="E392" s="226"/>
    </row>
    <row r="393" ht="22.5" customHeight="1">
      <c r="A393" s="233"/>
      <c r="B393" s="234"/>
      <c r="C393" s="234"/>
      <c r="D393" s="226"/>
      <c r="E393" s="226"/>
    </row>
    <row r="394" ht="22.5" customHeight="1">
      <c r="A394" s="233"/>
      <c r="B394" s="234"/>
      <c r="C394" s="234"/>
      <c r="D394" s="226"/>
      <c r="E394" s="226"/>
    </row>
    <row r="395" ht="22.5" customHeight="1">
      <c r="A395" s="233"/>
      <c r="B395" s="234"/>
      <c r="C395" s="234"/>
      <c r="D395" s="226"/>
      <c r="E395" s="226"/>
    </row>
    <row r="396" ht="22.5" customHeight="1">
      <c r="A396" s="233"/>
      <c r="B396" s="234"/>
      <c r="C396" s="234"/>
      <c r="D396" s="226"/>
      <c r="E396" s="226"/>
    </row>
    <row r="397" ht="22.5" customHeight="1">
      <c r="A397" s="233"/>
      <c r="B397" s="234"/>
      <c r="C397" s="234"/>
      <c r="D397" s="226"/>
      <c r="E397" s="226"/>
    </row>
    <row r="398" ht="22.5" customHeight="1">
      <c r="A398" s="233"/>
      <c r="B398" s="234"/>
      <c r="C398" s="234"/>
      <c r="D398" s="226"/>
      <c r="E398" s="226"/>
    </row>
    <row r="399" ht="22.5" customHeight="1">
      <c r="A399" s="233"/>
      <c r="B399" s="234"/>
      <c r="C399" s="234"/>
      <c r="D399" s="226"/>
      <c r="E399" s="226"/>
    </row>
    <row r="400" ht="22.5" customHeight="1">
      <c r="A400" s="233"/>
      <c r="B400" s="234"/>
      <c r="C400" s="234"/>
      <c r="D400" s="226"/>
      <c r="E400" s="226"/>
    </row>
    <row r="401" ht="22.5" customHeight="1">
      <c r="A401" s="233"/>
      <c r="B401" s="234"/>
      <c r="C401" s="234"/>
      <c r="D401" s="226"/>
      <c r="E401" s="226"/>
    </row>
    <row r="402" ht="22.5" customHeight="1">
      <c r="A402" s="233"/>
      <c r="B402" s="234"/>
      <c r="C402" s="234"/>
      <c r="D402" s="226"/>
      <c r="E402" s="226"/>
    </row>
    <row r="403" ht="22.5" customHeight="1">
      <c r="A403" s="233"/>
      <c r="B403" s="234"/>
      <c r="C403" s="234"/>
      <c r="D403" s="226"/>
      <c r="E403" s="226"/>
    </row>
    <row r="404" ht="22.5" customHeight="1">
      <c r="A404" s="233"/>
      <c r="B404" s="234"/>
      <c r="C404" s="234"/>
      <c r="D404" s="226"/>
      <c r="E404" s="226"/>
    </row>
    <row r="405" ht="22.5" customHeight="1">
      <c r="A405" s="233"/>
      <c r="B405" s="234"/>
      <c r="C405" s="234"/>
      <c r="D405" s="226"/>
      <c r="E405" s="226"/>
    </row>
    <row r="406" ht="22.5" customHeight="1">
      <c r="A406" s="233"/>
      <c r="B406" s="234"/>
      <c r="C406" s="234"/>
      <c r="D406" s="226"/>
      <c r="E406" s="226"/>
    </row>
    <row r="407" ht="22.5" customHeight="1">
      <c r="A407" s="233"/>
      <c r="B407" s="234"/>
      <c r="C407" s="234"/>
      <c r="D407" s="226"/>
      <c r="E407" s="226"/>
    </row>
    <row r="408" ht="22.5" customHeight="1">
      <c r="A408" s="233"/>
      <c r="B408" s="234"/>
      <c r="C408" s="234"/>
      <c r="D408" s="226"/>
      <c r="E408" s="226"/>
    </row>
    <row r="409" ht="22.5" customHeight="1">
      <c r="A409" s="233"/>
      <c r="B409" s="234"/>
      <c r="C409" s="234"/>
      <c r="D409" s="226"/>
      <c r="E409" s="226"/>
    </row>
    <row r="410" ht="22.5" customHeight="1">
      <c r="A410" s="233"/>
      <c r="B410" s="234"/>
      <c r="C410" s="234"/>
      <c r="D410" s="226"/>
      <c r="E410" s="226"/>
    </row>
    <row r="411" ht="22.5" customHeight="1">
      <c r="A411" s="233"/>
      <c r="B411" s="234"/>
      <c r="C411" s="234"/>
      <c r="D411" s="226"/>
      <c r="E411" s="226"/>
    </row>
    <row r="412" ht="22.5" customHeight="1">
      <c r="A412" s="233"/>
      <c r="B412" s="234"/>
      <c r="C412" s="234"/>
      <c r="D412" s="226"/>
      <c r="E412" s="226"/>
    </row>
    <row r="413" ht="22.5" customHeight="1">
      <c r="A413" s="233"/>
      <c r="B413" s="234"/>
      <c r="C413" s="234"/>
      <c r="D413" s="226"/>
      <c r="E413" s="226"/>
    </row>
    <row r="414" ht="22.5" customHeight="1">
      <c r="A414" s="233"/>
      <c r="B414" s="234"/>
      <c r="C414" s="234"/>
      <c r="D414" s="226"/>
      <c r="E414" s="226"/>
    </row>
    <row r="415" ht="22.5" customHeight="1">
      <c r="A415" s="233"/>
      <c r="B415" s="234"/>
      <c r="C415" s="234"/>
      <c r="D415" s="226"/>
      <c r="E415" s="226"/>
    </row>
    <row r="416" ht="22.5" customHeight="1">
      <c r="A416" s="233"/>
      <c r="B416" s="234"/>
      <c r="C416" s="234"/>
      <c r="D416" s="226"/>
      <c r="E416" s="226"/>
    </row>
    <row r="417" ht="22.5" customHeight="1">
      <c r="A417" s="233"/>
      <c r="B417" s="234"/>
      <c r="C417" s="234"/>
      <c r="D417" s="226"/>
      <c r="E417" s="226"/>
    </row>
    <row r="418" ht="22.5" customHeight="1">
      <c r="A418" s="233"/>
      <c r="B418" s="234"/>
      <c r="C418" s="234"/>
      <c r="D418" s="226"/>
      <c r="E418" s="226"/>
    </row>
    <row r="419" ht="22.5" customHeight="1">
      <c r="A419" s="233"/>
      <c r="B419" s="234"/>
      <c r="C419" s="234"/>
      <c r="D419" s="226"/>
      <c r="E419" s="226"/>
    </row>
    <row r="420" ht="22.5" customHeight="1">
      <c r="A420" s="233"/>
      <c r="B420" s="234"/>
      <c r="C420" s="234"/>
      <c r="D420" s="226"/>
      <c r="E420" s="226"/>
    </row>
    <row r="421" ht="22.5" customHeight="1">
      <c r="A421" s="233"/>
      <c r="B421" s="234"/>
      <c r="C421" s="234"/>
      <c r="D421" s="226"/>
      <c r="E421" s="226"/>
    </row>
    <row r="422" ht="22.5" customHeight="1">
      <c r="A422" s="233"/>
      <c r="B422" s="234"/>
      <c r="C422" s="234"/>
      <c r="D422" s="226"/>
      <c r="E422" s="226"/>
    </row>
    <row r="423" ht="22.5" customHeight="1">
      <c r="A423" s="233"/>
      <c r="B423" s="234"/>
      <c r="C423" s="234"/>
      <c r="D423" s="226"/>
      <c r="E423" s="226"/>
    </row>
    <row r="424" ht="22.5" customHeight="1">
      <c r="A424" s="233"/>
      <c r="B424" s="234"/>
      <c r="C424" s="234"/>
      <c r="D424" s="226"/>
      <c r="E424" s="226"/>
    </row>
    <row r="425" ht="22.5" customHeight="1">
      <c r="A425" s="233"/>
      <c r="B425" s="234"/>
      <c r="C425" s="234"/>
      <c r="D425" s="226"/>
      <c r="E425" s="226"/>
    </row>
    <row r="426" ht="22.5" customHeight="1">
      <c r="A426" s="233"/>
      <c r="B426" s="234"/>
      <c r="C426" s="234"/>
      <c r="D426" s="226"/>
      <c r="E426" s="226"/>
    </row>
    <row r="427" ht="22.5" customHeight="1">
      <c r="A427" s="233"/>
      <c r="B427" s="234"/>
      <c r="C427" s="234"/>
      <c r="D427" s="226"/>
      <c r="E427" s="226"/>
    </row>
    <row r="428" ht="22.5" customHeight="1">
      <c r="A428" s="233"/>
      <c r="B428" s="234"/>
      <c r="C428" s="234"/>
      <c r="D428" s="226"/>
      <c r="E428" s="226"/>
    </row>
    <row r="429" ht="22.5" customHeight="1">
      <c r="A429" s="233"/>
      <c r="B429" s="234"/>
      <c r="C429" s="234"/>
      <c r="D429" s="226"/>
      <c r="E429" s="226"/>
    </row>
    <row r="430" ht="22.5" customHeight="1">
      <c r="A430" s="233"/>
      <c r="B430" s="234"/>
      <c r="C430" s="234"/>
      <c r="D430" s="226"/>
      <c r="E430" s="226"/>
    </row>
    <row r="431" ht="22.5" customHeight="1">
      <c r="A431" s="233"/>
      <c r="B431" s="234"/>
      <c r="C431" s="234"/>
      <c r="D431" s="226"/>
      <c r="E431" s="226"/>
    </row>
    <row r="432" ht="22.5" customHeight="1">
      <c r="A432" s="233"/>
      <c r="B432" s="234"/>
      <c r="C432" s="234"/>
      <c r="D432" s="226"/>
      <c r="E432" s="226"/>
    </row>
    <row r="433" ht="22.5" customHeight="1">
      <c r="A433" s="233"/>
      <c r="B433" s="234"/>
      <c r="C433" s="234"/>
      <c r="D433" s="226"/>
      <c r="E433" s="226"/>
    </row>
    <row r="434" ht="22.5" customHeight="1">
      <c r="A434" s="233"/>
      <c r="B434" s="234"/>
      <c r="C434" s="234"/>
      <c r="D434" s="226"/>
      <c r="E434" s="226"/>
    </row>
    <row r="435" ht="22.5" customHeight="1">
      <c r="A435" s="233"/>
      <c r="B435" s="234"/>
      <c r="C435" s="234"/>
      <c r="D435" s="226"/>
      <c r="E435" s="226"/>
    </row>
    <row r="436" ht="22.5" customHeight="1">
      <c r="A436" s="233"/>
      <c r="B436" s="234"/>
      <c r="C436" s="234"/>
      <c r="D436" s="226"/>
      <c r="E436" s="226"/>
    </row>
    <row r="437" ht="22.5" customHeight="1">
      <c r="A437" s="233"/>
      <c r="B437" s="234"/>
      <c r="C437" s="234"/>
      <c r="D437" s="226"/>
      <c r="E437" s="226"/>
    </row>
    <row r="438" ht="22.5" customHeight="1">
      <c r="A438" s="233"/>
      <c r="B438" s="234"/>
      <c r="C438" s="234"/>
      <c r="D438" s="226"/>
      <c r="E438" s="226"/>
    </row>
    <row r="439" ht="22.5" customHeight="1">
      <c r="A439" s="233"/>
      <c r="B439" s="234"/>
      <c r="C439" s="234"/>
      <c r="D439" s="226"/>
      <c r="E439" s="226"/>
    </row>
    <row r="440" ht="22.5" customHeight="1">
      <c r="A440" s="233"/>
      <c r="B440" s="234"/>
      <c r="C440" s="234"/>
      <c r="D440" s="226"/>
      <c r="E440" s="226"/>
    </row>
    <row r="441" ht="22.5" customHeight="1">
      <c r="A441" s="233"/>
      <c r="B441" s="234"/>
      <c r="C441" s="234"/>
      <c r="D441" s="226"/>
      <c r="E441" s="226"/>
    </row>
    <row r="442" ht="22.5" customHeight="1">
      <c r="A442" s="233"/>
      <c r="B442" s="234"/>
      <c r="C442" s="234"/>
      <c r="D442" s="226"/>
      <c r="E442" s="226"/>
    </row>
    <row r="443" ht="22.5" customHeight="1">
      <c r="A443" s="233"/>
      <c r="B443" s="234"/>
      <c r="C443" s="234"/>
      <c r="D443" s="226"/>
      <c r="E443" s="226"/>
    </row>
    <row r="444" ht="22.5" customHeight="1">
      <c r="A444" s="233"/>
      <c r="B444" s="234"/>
      <c r="C444" s="234"/>
      <c r="D444" s="226"/>
      <c r="E444" s="226"/>
    </row>
    <row r="445" ht="22.5" customHeight="1">
      <c r="A445" s="233"/>
      <c r="B445" s="234"/>
      <c r="C445" s="234"/>
      <c r="D445" s="226"/>
      <c r="E445" s="226"/>
    </row>
    <row r="446" ht="22.5" customHeight="1">
      <c r="A446" s="233"/>
      <c r="B446" s="234"/>
      <c r="C446" s="234"/>
      <c r="D446" s="226"/>
      <c r="E446" s="226"/>
    </row>
    <row r="447" ht="22.5" customHeight="1">
      <c r="A447" s="233"/>
      <c r="B447" s="234"/>
      <c r="C447" s="234"/>
      <c r="D447" s="226"/>
      <c r="E447" s="226"/>
    </row>
    <row r="448" ht="22.5" customHeight="1">
      <c r="A448" s="233"/>
      <c r="B448" s="234"/>
      <c r="C448" s="234"/>
      <c r="D448" s="226"/>
      <c r="E448" s="226"/>
    </row>
    <row r="449" ht="22.5" customHeight="1">
      <c r="A449" s="233"/>
      <c r="B449" s="234"/>
      <c r="C449" s="234"/>
      <c r="D449" s="226"/>
      <c r="E449" s="226"/>
    </row>
    <row r="450" ht="22.5" customHeight="1">
      <c r="A450" s="233"/>
      <c r="B450" s="234"/>
      <c r="C450" s="234"/>
      <c r="D450" s="226"/>
      <c r="E450" s="226"/>
    </row>
    <row r="451" ht="22.5" customHeight="1">
      <c r="A451" s="233"/>
      <c r="B451" s="234"/>
      <c r="C451" s="234"/>
      <c r="D451" s="226"/>
      <c r="E451" s="226"/>
    </row>
    <row r="452" ht="22.5" customHeight="1">
      <c r="A452" s="233"/>
      <c r="B452" s="234"/>
      <c r="C452" s="234"/>
      <c r="D452" s="226"/>
      <c r="E452" s="226"/>
    </row>
    <row r="453" ht="22.5" customHeight="1">
      <c r="A453" s="233"/>
      <c r="B453" s="234"/>
      <c r="C453" s="234"/>
      <c r="D453" s="226"/>
      <c r="E453" s="226"/>
    </row>
    <row r="454" ht="22.5" customHeight="1">
      <c r="A454" s="233"/>
      <c r="B454" s="234"/>
      <c r="C454" s="234"/>
      <c r="D454" s="226"/>
      <c r="E454" s="226"/>
    </row>
    <row r="455" ht="22.5" customHeight="1">
      <c r="A455" s="233"/>
      <c r="B455" s="234"/>
      <c r="C455" s="234"/>
      <c r="D455" s="226"/>
      <c r="E455" s="226"/>
    </row>
    <row r="456" ht="22.5" customHeight="1">
      <c r="A456" s="233"/>
      <c r="B456" s="234"/>
      <c r="C456" s="234"/>
      <c r="D456" s="226"/>
      <c r="E456" s="226"/>
    </row>
    <row r="457" ht="22.5" customHeight="1">
      <c r="A457" s="233"/>
      <c r="B457" s="234"/>
      <c r="C457" s="234"/>
      <c r="D457" s="226"/>
      <c r="E457" s="226"/>
    </row>
    <row r="458" ht="22.5" customHeight="1">
      <c r="A458" s="233"/>
      <c r="B458" s="234"/>
      <c r="C458" s="234"/>
      <c r="D458" s="226"/>
      <c r="E458" s="226"/>
    </row>
    <row r="459" ht="22.5" customHeight="1">
      <c r="A459" s="233"/>
      <c r="B459" s="234"/>
      <c r="C459" s="234"/>
      <c r="D459" s="226"/>
      <c r="E459" s="226"/>
    </row>
    <row r="460" ht="22.5" customHeight="1">
      <c r="A460" s="233"/>
      <c r="B460" s="234"/>
      <c r="C460" s="234"/>
      <c r="D460" s="226"/>
      <c r="E460" s="226"/>
    </row>
    <row r="461" ht="22.5" customHeight="1">
      <c r="A461" s="233"/>
      <c r="B461" s="234"/>
      <c r="C461" s="234"/>
      <c r="D461" s="226"/>
      <c r="E461" s="226"/>
    </row>
    <row r="462" ht="22.5" customHeight="1">
      <c r="A462" s="233"/>
      <c r="B462" s="234"/>
      <c r="C462" s="234"/>
      <c r="D462" s="226"/>
      <c r="E462" s="226"/>
    </row>
    <row r="463" ht="22.5" customHeight="1">
      <c r="A463" s="233"/>
      <c r="B463" s="234"/>
      <c r="C463" s="234"/>
      <c r="D463" s="226"/>
      <c r="E463" s="226"/>
    </row>
    <row r="464" ht="22.5" customHeight="1">
      <c r="A464" s="233"/>
      <c r="B464" s="234"/>
      <c r="C464" s="234"/>
      <c r="D464" s="226"/>
      <c r="E464" s="226"/>
    </row>
    <row r="465" ht="22.5" customHeight="1">
      <c r="A465" s="233"/>
      <c r="B465" s="234"/>
      <c r="C465" s="234"/>
      <c r="D465" s="226"/>
      <c r="E465" s="226"/>
    </row>
    <row r="466" ht="22.5" customHeight="1">
      <c r="A466" s="233"/>
      <c r="B466" s="234"/>
      <c r="C466" s="234"/>
      <c r="D466" s="226"/>
      <c r="E466" s="226"/>
    </row>
    <row r="467" ht="22.5" customHeight="1">
      <c r="A467" s="233"/>
      <c r="B467" s="234"/>
      <c r="C467" s="234"/>
      <c r="D467" s="226"/>
      <c r="E467" s="226"/>
    </row>
    <row r="468" ht="22.5" customHeight="1">
      <c r="A468" s="233"/>
      <c r="B468" s="234"/>
      <c r="C468" s="234"/>
      <c r="D468" s="226"/>
      <c r="E468" s="226"/>
    </row>
    <row r="469" ht="22.5" customHeight="1">
      <c r="A469" s="233"/>
      <c r="B469" s="234"/>
      <c r="C469" s="234"/>
      <c r="D469" s="226"/>
      <c r="E469" s="226"/>
    </row>
    <row r="470" ht="22.5" customHeight="1">
      <c r="A470" s="233"/>
      <c r="B470" s="234"/>
      <c r="C470" s="234"/>
      <c r="D470" s="226"/>
      <c r="E470" s="226"/>
    </row>
    <row r="471" ht="22.5" customHeight="1">
      <c r="A471" s="233"/>
      <c r="B471" s="234"/>
      <c r="C471" s="234"/>
      <c r="D471" s="226"/>
      <c r="E471" s="226"/>
    </row>
    <row r="472" ht="22.5" customHeight="1">
      <c r="A472" s="233"/>
      <c r="B472" s="234"/>
      <c r="C472" s="234"/>
      <c r="D472" s="226"/>
      <c r="E472" s="226"/>
    </row>
    <row r="473" ht="22.5" customHeight="1">
      <c r="A473" s="233"/>
      <c r="B473" s="234"/>
      <c r="C473" s="234"/>
      <c r="D473" s="226"/>
      <c r="E473" s="226"/>
    </row>
    <row r="474" ht="22.5" customHeight="1">
      <c r="A474" s="233"/>
      <c r="B474" s="234"/>
      <c r="C474" s="234"/>
      <c r="D474" s="226"/>
      <c r="E474" s="226"/>
    </row>
    <row r="475" ht="22.5" customHeight="1">
      <c r="A475" s="233"/>
      <c r="B475" s="234"/>
      <c r="C475" s="234"/>
      <c r="D475" s="226"/>
      <c r="E475" s="226"/>
    </row>
    <row r="476" ht="22.5" customHeight="1">
      <c r="A476" s="233"/>
      <c r="B476" s="234"/>
      <c r="C476" s="234"/>
      <c r="D476" s="226"/>
      <c r="E476" s="226"/>
    </row>
    <row r="477" ht="22.5" customHeight="1">
      <c r="A477" s="233"/>
      <c r="B477" s="234"/>
      <c r="C477" s="234"/>
      <c r="D477" s="226"/>
      <c r="E477" s="226"/>
    </row>
    <row r="478" ht="22.5" customHeight="1">
      <c r="A478" s="233"/>
      <c r="B478" s="234"/>
      <c r="C478" s="234"/>
      <c r="D478" s="226"/>
      <c r="E478" s="226"/>
    </row>
    <row r="479" ht="22.5" customHeight="1">
      <c r="A479" s="233"/>
      <c r="B479" s="234"/>
      <c r="C479" s="234"/>
      <c r="D479" s="226"/>
      <c r="E479" s="226"/>
    </row>
    <row r="480" ht="22.5" customHeight="1">
      <c r="A480" s="233"/>
      <c r="B480" s="234"/>
      <c r="C480" s="234"/>
      <c r="D480" s="226"/>
      <c r="E480" s="226"/>
    </row>
    <row r="481" ht="22.5" customHeight="1">
      <c r="A481" s="233"/>
      <c r="B481" s="234"/>
      <c r="C481" s="234"/>
      <c r="D481" s="226"/>
      <c r="E481" s="226"/>
    </row>
    <row r="482" ht="22.5" customHeight="1">
      <c r="A482" s="233"/>
      <c r="B482" s="234"/>
      <c r="C482" s="234"/>
      <c r="D482" s="226"/>
      <c r="E482" s="226"/>
    </row>
    <row r="483" ht="22.5" customHeight="1">
      <c r="A483" s="233"/>
      <c r="B483" s="234"/>
      <c r="C483" s="234"/>
      <c r="D483" s="226"/>
      <c r="E483" s="226"/>
    </row>
    <row r="484" ht="22.5" customHeight="1">
      <c r="A484" s="233"/>
      <c r="B484" s="234"/>
      <c r="C484" s="234"/>
      <c r="D484" s="226"/>
      <c r="E484" s="226"/>
    </row>
    <row r="485" ht="22.5" customHeight="1">
      <c r="A485" s="233"/>
      <c r="B485" s="234"/>
      <c r="C485" s="234"/>
      <c r="D485" s="226"/>
      <c r="E485" s="226"/>
    </row>
    <row r="486" ht="22.5" customHeight="1">
      <c r="A486" s="233"/>
      <c r="B486" s="234"/>
      <c r="C486" s="234"/>
      <c r="D486" s="226"/>
      <c r="E486" s="226"/>
    </row>
    <row r="487" ht="22.5" customHeight="1">
      <c r="A487" s="233"/>
      <c r="B487" s="234"/>
      <c r="C487" s="234"/>
      <c r="D487" s="226"/>
      <c r="E487" s="226"/>
    </row>
    <row r="488" ht="22.5" customHeight="1">
      <c r="A488" s="233"/>
      <c r="B488" s="234"/>
      <c r="C488" s="234"/>
      <c r="D488" s="226"/>
      <c r="E488" s="226"/>
    </row>
    <row r="489" ht="22.5" customHeight="1">
      <c r="A489" s="233"/>
      <c r="B489" s="234"/>
      <c r="C489" s="234"/>
      <c r="D489" s="226"/>
      <c r="E489" s="226"/>
    </row>
    <row r="490" ht="22.5" customHeight="1">
      <c r="A490" s="233"/>
      <c r="B490" s="234"/>
      <c r="C490" s="234"/>
      <c r="D490" s="226"/>
      <c r="E490" s="226"/>
    </row>
    <row r="491" ht="22.5" customHeight="1">
      <c r="A491" s="233"/>
      <c r="B491" s="234"/>
      <c r="C491" s="234"/>
      <c r="D491" s="226"/>
      <c r="E491" s="226"/>
    </row>
    <row r="492" ht="22.5" customHeight="1">
      <c r="A492" s="233"/>
      <c r="B492" s="234"/>
      <c r="C492" s="234"/>
      <c r="D492" s="226"/>
      <c r="E492" s="226"/>
    </row>
    <row r="493" ht="22.5" customHeight="1">
      <c r="A493" s="233"/>
      <c r="B493" s="234"/>
      <c r="C493" s="234"/>
      <c r="D493" s="226"/>
      <c r="E493" s="226"/>
    </row>
    <row r="494" ht="22.5" customHeight="1">
      <c r="A494" s="233"/>
      <c r="B494" s="234"/>
      <c r="C494" s="234"/>
      <c r="D494" s="226"/>
      <c r="E494" s="226"/>
    </row>
    <row r="495" ht="22.5" customHeight="1">
      <c r="A495" s="233"/>
      <c r="B495" s="234"/>
      <c r="C495" s="234"/>
      <c r="D495" s="226"/>
      <c r="E495" s="226"/>
    </row>
    <row r="496" ht="22.5" customHeight="1">
      <c r="A496" s="233"/>
      <c r="B496" s="234"/>
      <c r="C496" s="234"/>
      <c r="D496" s="226"/>
      <c r="E496" s="226"/>
    </row>
    <row r="497" ht="22.5" customHeight="1">
      <c r="A497" s="233"/>
      <c r="B497" s="234"/>
      <c r="C497" s="234"/>
      <c r="D497" s="226"/>
      <c r="E497" s="226"/>
    </row>
    <row r="498" ht="22.5" customHeight="1">
      <c r="A498" s="233"/>
      <c r="B498" s="234"/>
      <c r="C498" s="234"/>
      <c r="D498" s="226"/>
      <c r="E498" s="226"/>
    </row>
    <row r="499" ht="22.5" customHeight="1">
      <c r="A499" s="233"/>
      <c r="B499" s="234"/>
      <c r="C499" s="234"/>
      <c r="D499" s="226"/>
      <c r="E499" s="226"/>
    </row>
    <row r="500" ht="22.5" customHeight="1">
      <c r="A500" s="233"/>
      <c r="B500" s="234"/>
      <c r="C500" s="234"/>
      <c r="D500" s="226"/>
      <c r="E500" s="226"/>
    </row>
    <row r="501" ht="22.5" customHeight="1">
      <c r="A501" s="233"/>
      <c r="B501" s="234"/>
      <c r="C501" s="234"/>
      <c r="D501" s="226"/>
      <c r="E501" s="226"/>
    </row>
    <row r="502" ht="22.5" customHeight="1">
      <c r="A502" s="233"/>
      <c r="B502" s="234"/>
      <c r="C502" s="234"/>
      <c r="D502" s="226"/>
      <c r="E502" s="226"/>
    </row>
    <row r="503" ht="22.5" customHeight="1">
      <c r="A503" s="233"/>
      <c r="B503" s="234"/>
      <c r="C503" s="234"/>
      <c r="D503" s="226"/>
      <c r="E503" s="226"/>
    </row>
    <row r="504" ht="22.5" customHeight="1">
      <c r="A504" s="233"/>
      <c r="B504" s="234"/>
      <c r="C504" s="234"/>
      <c r="D504" s="226"/>
      <c r="E504" s="226"/>
    </row>
    <row r="505" ht="22.5" customHeight="1">
      <c r="A505" s="233"/>
      <c r="B505" s="234"/>
      <c r="C505" s="234"/>
      <c r="D505" s="226"/>
      <c r="E505" s="226"/>
    </row>
    <row r="506" ht="22.5" customHeight="1">
      <c r="A506" s="233"/>
      <c r="B506" s="234"/>
      <c r="C506" s="234"/>
      <c r="D506" s="226"/>
      <c r="E506" s="226"/>
    </row>
    <row r="507" ht="22.5" customHeight="1">
      <c r="A507" s="233"/>
      <c r="B507" s="234"/>
      <c r="C507" s="234"/>
      <c r="D507" s="226"/>
      <c r="E507" s="226"/>
    </row>
    <row r="508" ht="22.5" customHeight="1">
      <c r="A508" s="233"/>
      <c r="B508" s="234"/>
      <c r="C508" s="234"/>
      <c r="D508" s="226"/>
      <c r="E508" s="226"/>
    </row>
    <row r="509" ht="22.5" customHeight="1">
      <c r="A509" s="233"/>
      <c r="B509" s="234"/>
      <c r="C509" s="234"/>
      <c r="D509" s="226"/>
      <c r="E509" s="226"/>
    </row>
    <row r="510" ht="22.5" customHeight="1">
      <c r="A510" s="233"/>
      <c r="B510" s="234"/>
      <c r="C510" s="234"/>
      <c r="D510" s="226"/>
      <c r="E510" s="226"/>
    </row>
    <row r="511" ht="22.5" customHeight="1">
      <c r="A511" s="233"/>
      <c r="B511" s="234"/>
      <c r="C511" s="234"/>
      <c r="D511" s="226"/>
      <c r="E511" s="226"/>
    </row>
    <row r="512" ht="22.5" customHeight="1">
      <c r="A512" s="233"/>
      <c r="B512" s="234"/>
      <c r="C512" s="234"/>
      <c r="D512" s="226"/>
      <c r="E512" s="226"/>
    </row>
    <row r="513" ht="22.5" customHeight="1">
      <c r="A513" s="233"/>
      <c r="B513" s="234"/>
      <c r="C513" s="234"/>
      <c r="D513" s="226"/>
      <c r="E513" s="226"/>
    </row>
    <row r="514" ht="22.5" customHeight="1">
      <c r="A514" s="233"/>
      <c r="B514" s="234"/>
      <c r="C514" s="234"/>
      <c r="D514" s="226"/>
      <c r="E514" s="226"/>
    </row>
    <row r="515" ht="22.5" customHeight="1">
      <c r="A515" s="233"/>
      <c r="B515" s="234"/>
      <c r="C515" s="234"/>
      <c r="D515" s="226"/>
      <c r="E515" s="226"/>
    </row>
    <row r="516" ht="22.5" customHeight="1">
      <c r="A516" s="233"/>
      <c r="B516" s="234"/>
      <c r="C516" s="234"/>
      <c r="D516" s="226"/>
      <c r="E516" s="226"/>
    </row>
    <row r="517" ht="22.5" customHeight="1">
      <c r="A517" s="233"/>
      <c r="B517" s="234"/>
      <c r="C517" s="234"/>
      <c r="D517" s="226"/>
      <c r="E517" s="226"/>
    </row>
    <row r="518" ht="22.5" customHeight="1">
      <c r="A518" s="233"/>
      <c r="B518" s="234"/>
      <c r="C518" s="234"/>
      <c r="D518" s="226"/>
      <c r="E518" s="226"/>
    </row>
    <row r="519" ht="22.5" customHeight="1">
      <c r="A519" s="233"/>
      <c r="B519" s="234"/>
      <c r="C519" s="234"/>
      <c r="D519" s="226"/>
      <c r="E519" s="226"/>
    </row>
    <row r="520" ht="22.5" customHeight="1">
      <c r="A520" s="233"/>
      <c r="B520" s="234"/>
      <c r="C520" s="234"/>
      <c r="D520" s="226"/>
      <c r="E520" s="226"/>
    </row>
    <row r="521" ht="22.5" customHeight="1">
      <c r="A521" s="233"/>
      <c r="B521" s="234"/>
      <c r="C521" s="234"/>
      <c r="D521" s="226"/>
      <c r="E521" s="226"/>
    </row>
    <row r="522" ht="22.5" customHeight="1">
      <c r="A522" s="233"/>
      <c r="B522" s="234"/>
      <c r="C522" s="234"/>
      <c r="D522" s="226"/>
      <c r="E522" s="226"/>
    </row>
    <row r="523" ht="22.5" customHeight="1">
      <c r="A523" s="233"/>
      <c r="B523" s="234"/>
      <c r="C523" s="234"/>
      <c r="D523" s="226"/>
      <c r="E523" s="226"/>
    </row>
    <row r="524" ht="22.5" customHeight="1">
      <c r="A524" s="233"/>
      <c r="B524" s="234"/>
      <c r="C524" s="234"/>
      <c r="D524" s="226"/>
      <c r="E524" s="226"/>
    </row>
    <row r="525" ht="22.5" customHeight="1">
      <c r="A525" s="233"/>
      <c r="B525" s="234"/>
      <c r="C525" s="234"/>
      <c r="D525" s="226"/>
      <c r="E525" s="226"/>
    </row>
    <row r="526" ht="22.5" customHeight="1">
      <c r="A526" s="233"/>
      <c r="B526" s="234"/>
      <c r="C526" s="234"/>
      <c r="D526" s="226"/>
      <c r="E526" s="226"/>
    </row>
    <row r="527" ht="22.5" customHeight="1">
      <c r="A527" s="233"/>
      <c r="B527" s="234"/>
      <c r="C527" s="234"/>
      <c r="D527" s="226"/>
      <c r="E527" s="226"/>
    </row>
    <row r="528" ht="22.5" customHeight="1">
      <c r="A528" s="233"/>
      <c r="B528" s="234"/>
      <c r="C528" s="234"/>
      <c r="D528" s="226"/>
      <c r="E528" s="226"/>
    </row>
    <row r="529" ht="22.5" customHeight="1">
      <c r="A529" s="233"/>
      <c r="B529" s="234"/>
      <c r="C529" s="234"/>
      <c r="D529" s="226"/>
      <c r="E529" s="226"/>
    </row>
    <row r="530" ht="22.5" customHeight="1">
      <c r="A530" s="233"/>
      <c r="B530" s="234"/>
      <c r="C530" s="234"/>
      <c r="D530" s="226"/>
      <c r="E530" s="226"/>
    </row>
    <row r="531" ht="22.5" customHeight="1">
      <c r="A531" s="233"/>
      <c r="B531" s="234"/>
      <c r="C531" s="234"/>
      <c r="D531" s="226"/>
      <c r="E531" s="226"/>
    </row>
    <row r="532" ht="22.5" customHeight="1">
      <c r="A532" s="233"/>
      <c r="B532" s="234"/>
      <c r="C532" s="234"/>
      <c r="D532" s="226"/>
      <c r="E532" s="226"/>
    </row>
    <row r="533" ht="22.5" customHeight="1">
      <c r="A533" s="233"/>
      <c r="B533" s="234"/>
      <c r="C533" s="234"/>
      <c r="D533" s="226"/>
      <c r="E533" s="226"/>
    </row>
    <row r="534" ht="22.5" customHeight="1">
      <c r="A534" s="233"/>
      <c r="B534" s="234"/>
      <c r="C534" s="234"/>
      <c r="D534" s="226"/>
      <c r="E534" s="226"/>
    </row>
    <row r="535" ht="22.5" customHeight="1">
      <c r="A535" s="233"/>
      <c r="B535" s="234"/>
      <c r="C535" s="234"/>
      <c r="D535" s="226"/>
      <c r="E535" s="226"/>
    </row>
    <row r="536" ht="22.5" customHeight="1">
      <c r="A536" s="233"/>
      <c r="B536" s="234"/>
      <c r="C536" s="234"/>
      <c r="D536" s="226"/>
      <c r="E536" s="226"/>
    </row>
    <row r="537" ht="22.5" customHeight="1">
      <c r="A537" s="233"/>
      <c r="B537" s="234"/>
      <c r="C537" s="234"/>
      <c r="D537" s="226"/>
      <c r="E537" s="226"/>
    </row>
    <row r="538" ht="22.5" customHeight="1">
      <c r="A538" s="233"/>
      <c r="B538" s="234"/>
      <c r="C538" s="234"/>
      <c r="D538" s="226"/>
      <c r="E538" s="226"/>
    </row>
    <row r="539" ht="22.5" customHeight="1">
      <c r="A539" s="233"/>
      <c r="B539" s="234"/>
      <c r="C539" s="234"/>
      <c r="D539" s="226"/>
      <c r="E539" s="226"/>
    </row>
    <row r="540" ht="22.5" customHeight="1">
      <c r="A540" s="233"/>
      <c r="B540" s="234"/>
      <c r="C540" s="234"/>
      <c r="D540" s="226"/>
      <c r="E540" s="226"/>
    </row>
    <row r="541" ht="22.5" customHeight="1">
      <c r="A541" s="233"/>
      <c r="B541" s="234"/>
      <c r="C541" s="234"/>
      <c r="D541" s="226"/>
      <c r="E541" s="226"/>
    </row>
    <row r="542" ht="22.5" customHeight="1">
      <c r="A542" s="233"/>
      <c r="B542" s="234"/>
      <c r="C542" s="234"/>
      <c r="D542" s="226"/>
      <c r="E542" s="226"/>
    </row>
    <row r="543" ht="22.5" customHeight="1">
      <c r="A543" s="233"/>
      <c r="B543" s="234"/>
      <c r="C543" s="234"/>
      <c r="D543" s="226"/>
      <c r="E543" s="226"/>
    </row>
    <row r="544" ht="22.5" customHeight="1">
      <c r="A544" s="233"/>
      <c r="B544" s="234"/>
      <c r="C544" s="234"/>
      <c r="D544" s="226"/>
      <c r="E544" s="226"/>
    </row>
    <row r="545" ht="22.5" customHeight="1">
      <c r="A545" s="233"/>
      <c r="B545" s="234"/>
      <c r="C545" s="234"/>
      <c r="D545" s="226"/>
      <c r="E545" s="226"/>
    </row>
    <row r="546" ht="22.5" customHeight="1">
      <c r="A546" s="233"/>
      <c r="B546" s="234"/>
      <c r="C546" s="234"/>
      <c r="D546" s="226"/>
      <c r="E546" s="226"/>
    </row>
    <row r="547" ht="22.5" customHeight="1">
      <c r="A547" s="233"/>
      <c r="B547" s="234"/>
      <c r="C547" s="234"/>
      <c r="D547" s="226"/>
      <c r="E547" s="226"/>
    </row>
    <row r="548" ht="22.5" customHeight="1">
      <c r="A548" s="233"/>
      <c r="B548" s="234"/>
      <c r="C548" s="234"/>
      <c r="D548" s="226"/>
      <c r="E548" s="226"/>
    </row>
    <row r="549" ht="22.5" customHeight="1">
      <c r="A549" s="233"/>
      <c r="B549" s="234"/>
      <c r="C549" s="234"/>
      <c r="D549" s="226"/>
      <c r="E549" s="226"/>
    </row>
    <row r="550" ht="22.5" customHeight="1">
      <c r="A550" s="233"/>
      <c r="B550" s="234"/>
      <c r="C550" s="234"/>
      <c r="D550" s="226"/>
      <c r="E550" s="226"/>
    </row>
    <row r="551" ht="22.5" customHeight="1">
      <c r="A551" s="233"/>
      <c r="B551" s="234"/>
      <c r="C551" s="234"/>
      <c r="D551" s="226"/>
      <c r="E551" s="226"/>
    </row>
    <row r="552" ht="22.5" customHeight="1">
      <c r="A552" s="233"/>
      <c r="B552" s="234"/>
      <c r="C552" s="234"/>
      <c r="D552" s="226"/>
      <c r="E552" s="226"/>
    </row>
    <row r="553" ht="22.5" customHeight="1">
      <c r="A553" s="233"/>
      <c r="B553" s="234"/>
      <c r="C553" s="234"/>
      <c r="D553" s="226"/>
      <c r="E553" s="226"/>
    </row>
    <row r="554" ht="22.5" customHeight="1">
      <c r="A554" s="233"/>
      <c r="B554" s="234"/>
      <c r="C554" s="234"/>
      <c r="D554" s="226"/>
      <c r="E554" s="226"/>
    </row>
    <row r="555" ht="22.5" customHeight="1">
      <c r="A555" s="233"/>
      <c r="B555" s="234"/>
      <c r="C555" s="234"/>
      <c r="D555" s="226"/>
      <c r="E555" s="226"/>
    </row>
    <row r="556" ht="22.5" customHeight="1">
      <c r="A556" s="233"/>
      <c r="B556" s="234"/>
      <c r="C556" s="234"/>
      <c r="D556" s="226"/>
      <c r="E556" s="226"/>
    </row>
    <row r="557" ht="22.5" customHeight="1">
      <c r="A557" s="233"/>
      <c r="B557" s="234"/>
      <c r="C557" s="234"/>
      <c r="D557" s="226"/>
      <c r="E557" s="226"/>
    </row>
    <row r="558" ht="22.5" customHeight="1">
      <c r="A558" s="233"/>
      <c r="B558" s="234"/>
      <c r="C558" s="234"/>
      <c r="D558" s="226"/>
      <c r="E558" s="226"/>
    </row>
    <row r="559" ht="22.5" customHeight="1">
      <c r="A559" s="233"/>
      <c r="B559" s="234"/>
      <c r="C559" s="234"/>
      <c r="D559" s="226"/>
      <c r="E559" s="226"/>
    </row>
    <row r="560" ht="22.5" customHeight="1">
      <c r="A560" s="233"/>
      <c r="B560" s="234"/>
      <c r="C560" s="234"/>
      <c r="D560" s="226"/>
      <c r="E560" s="226"/>
    </row>
    <row r="561" ht="22.5" customHeight="1">
      <c r="A561" s="233"/>
      <c r="B561" s="234"/>
      <c r="C561" s="234"/>
      <c r="D561" s="226"/>
      <c r="E561" s="226"/>
    </row>
    <row r="562" ht="22.5" customHeight="1">
      <c r="A562" s="233"/>
      <c r="B562" s="234"/>
      <c r="C562" s="234"/>
      <c r="D562" s="226"/>
      <c r="E562" s="226"/>
    </row>
    <row r="563" ht="22.5" customHeight="1">
      <c r="A563" s="233"/>
      <c r="B563" s="234"/>
      <c r="C563" s="234"/>
      <c r="D563" s="226"/>
      <c r="E563" s="226"/>
    </row>
    <row r="564" ht="22.5" customHeight="1">
      <c r="A564" s="233"/>
      <c r="B564" s="234"/>
      <c r="C564" s="234"/>
      <c r="D564" s="226"/>
      <c r="E564" s="226"/>
    </row>
    <row r="565" ht="22.5" customHeight="1">
      <c r="A565" s="233"/>
      <c r="B565" s="234"/>
      <c r="C565" s="234"/>
      <c r="D565" s="226"/>
      <c r="E565" s="226"/>
    </row>
    <row r="566" ht="22.5" customHeight="1">
      <c r="A566" s="233"/>
      <c r="B566" s="234"/>
      <c r="C566" s="234"/>
      <c r="D566" s="226"/>
      <c r="E566" s="226"/>
    </row>
    <row r="567" ht="22.5" customHeight="1">
      <c r="A567" s="233"/>
      <c r="B567" s="234"/>
      <c r="C567" s="234"/>
      <c r="D567" s="226"/>
      <c r="E567" s="226"/>
    </row>
    <row r="568" ht="22.5" customHeight="1">
      <c r="A568" s="233"/>
      <c r="B568" s="234"/>
      <c r="C568" s="234"/>
      <c r="D568" s="226"/>
      <c r="E568" s="226"/>
    </row>
    <row r="569" ht="22.5" customHeight="1">
      <c r="A569" s="233"/>
      <c r="B569" s="234"/>
      <c r="C569" s="234"/>
      <c r="D569" s="226"/>
      <c r="E569" s="226"/>
    </row>
    <row r="570" ht="22.5" customHeight="1">
      <c r="A570" s="233"/>
      <c r="B570" s="234"/>
      <c r="C570" s="234"/>
      <c r="D570" s="226"/>
      <c r="E570" s="226"/>
    </row>
    <row r="571" ht="22.5" customHeight="1">
      <c r="A571" s="233"/>
      <c r="B571" s="234"/>
      <c r="C571" s="234"/>
      <c r="D571" s="226"/>
      <c r="E571" s="226"/>
    </row>
    <row r="572" ht="22.5" customHeight="1">
      <c r="A572" s="233"/>
      <c r="B572" s="234"/>
      <c r="C572" s="234"/>
      <c r="D572" s="226"/>
      <c r="E572" s="226"/>
    </row>
    <row r="573" ht="22.5" customHeight="1">
      <c r="A573" s="233"/>
      <c r="B573" s="234"/>
      <c r="C573" s="234"/>
      <c r="D573" s="226"/>
      <c r="E573" s="226"/>
    </row>
    <row r="574" ht="22.5" customHeight="1">
      <c r="A574" s="233"/>
      <c r="B574" s="234"/>
      <c r="C574" s="234"/>
      <c r="D574" s="226"/>
      <c r="E574" s="226"/>
    </row>
    <row r="575" ht="22.5" customHeight="1">
      <c r="A575" s="233"/>
      <c r="B575" s="234"/>
      <c r="C575" s="234"/>
      <c r="D575" s="226"/>
      <c r="E575" s="226"/>
    </row>
    <row r="576" ht="22.5" customHeight="1">
      <c r="A576" s="233"/>
      <c r="B576" s="234"/>
      <c r="C576" s="234"/>
      <c r="D576" s="226"/>
      <c r="E576" s="226"/>
    </row>
    <row r="577" ht="22.5" customHeight="1">
      <c r="A577" s="233"/>
      <c r="B577" s="234"/>
      <c r="C577" s="234"/>
      <c r="D577" s="226"/>
      <c r="E577" s="226"/>
    </row>
    <row r="578" ht="22.5" customHeight="1">
      <c r="A578" s="233"/>
      <c r="B578" s="234"/>
      <c r="C578" s="234"/>
      <c r="D578" s="226"/>
      <c r="E578" s="226"/>
    </row>
    <row r="579" ht="22.5" customHeight="1">
      <c r="A579" s="233"/>
      <c r="B579" s="234"/>
      <c r="C579" s="234"/>
      <c r="D579" s="226"/>
      <c r="E579" s="226"/>
    </row>
    <row r="580" ht="22.5" customHeight="1">
      <c r="A580" s="233"/>
      <c r="B580" s="234"/>
      <c r="C580" s="234"/>
      <c r="D580" s="226"/>
      <c r="E580" s="226"/>
    </row>
    <row r="581" ht="22.5" customHeight="1">
      <c r="A581" s="233"/>
      <c r="B581" s="234"/>
      <c r="C581" s="234"/>
      <c r="D581" s="226"/>
      <c r="E581" s="226"/>
    </row>
    <row r="582" ht="22.5" customHeight="1">
      <c r="A582" s="233"/>
      <c r="B582" s="234"/>
      <c r="C582" s="234"/>
      <c r="D582" s="226"/>
      <c r="E582" s="226"/>
    </row>
    <row r="583" ht="22.5" customHeight="1">
      <c r="A583" s="233"/>
      <c r="B583" s="234"/>
      <c r="C583" s="234"/>
      <c r="D583" s="226"/>
      <c r="E583" s="226"/>
    </row>
    <row r="584" ht="22.5" customHeight="1">
      <c r="A584" s="233"/>
      <c r="B584" s="234"/>
      <c r="C584" s="234"/>
      <c r="D584" s="226"/>
      <c r="E584" s="226"/>
    </row>
    <row r="585" ht="22.5" customHeight="1">
      <c r="A585" s="233"/>
      <c r="B585" s="234"/>
      <c r="C585" s="234"/>
      <c r="D585" s="226"/>
      <c r="E585" s="226"/>
    </row>
    <row r="586" ht="22.5" customHeight="1">
      <c r="A586" s="233"/>
      <c r="B586" s="234"/>
      <c r="C586" s="234"/>
      <c r="D586" s="226"/>
      <c r="E586" s="226"/>
    </row>
    <row r="587" ht="22.5" customHeight="1">
      <c r="A587" s="233"/>
      <c r="B587" s="234"/>
      <c r="C587" s="234"/>
      <c r="D587" s="226"/>
      <c r="E587" s="226"/>
    </row>
    <row r="588" ht="22.5" customHeight="1">
      <c r="A588" s="233"/>
      <c r="B588" s="234"/>
      <c r="C588" s="234"/>
      <c r="D588" s="226"/>
      <c r="E588" s="226"/>
    </row>
    <row r="589" ht="22.5" customHeight="1">
      <c r="A589" s="233"/>
      <c r="B589" s="234"/>
      <c r="C589" s="234"/>
      <c r="D589" s="226"/>
      <c r="E589" s="226"/>
    </row>
    <row r="590" ht="22.5" customHeight="1">
      <c r="A590" s="233"/>
      <c r="B590" s="234"/>
      <c r="C590" s="234"/>
      <c r="D590" s="226"/>
      <c r="E590" s="226"/>
    </row>
    <row r="591" ht="22.5" customHeight="1">
      <c r="A591" s="233"/>
      <c r="B591" s="234"/>
      <c r="C591" s="234"/>
      <c r="D591" s="226"/>
      <c r="E591" s="226"/>
    </row>
    <row r="592" ht="22.5" customHeight="1">
      <c r="A592" s="233"/>
      <c r="B592" s="234"/>
      <c r="C592" s="234"/>
      <c r="D592" s="226"/>
      <c r="E592" s="226"/>
    </row>
    <row r="593" ht="22.5" customHeight="1">
      <c r="A593" s="233"/>
      <c r="B593" s="234"/>
      <c r="C593" s="234"/>
      <c r="D593" s="226"/>
      <c r="E593" s="226"/>
    </row>
    <row r="594" ht="22.5" customHeight="1">
      <c r="A594" s="233"/>
      <c r="B594" s="234"/>
      <c r="C594" s="234"/>
      <c r="D594" s="226"/>
      <c r="E594" s="226"/>
    </row>
    <row r="595" ht="22.5" customHeight="1">
      <c r="A595" s="233"/>
      <c r="B595" s="234"/>
      <c r="C595" s="234"/>
      <c r="D595" s="226"/>
      <c r="E595" s="226"/>
    </row>
    <row r="596" ht="22.5" customHeight="1">
      <c r="A596" s="233"/>
      <c r="B596" s="234"/>
      <c r="C596" s="234"/>
      <c r="D596" s="226"/>
      <c r="E596" s="226"/>
    </row>
    <row r="597" ht="22.5" customHeight="1">
      <c r="A597" s="233"/>
      <c r="B597" s="234"/>
      <c r="C597" s="234"/>
      <c r="D597" s="226"/>
      <c r="E597" s="226"/>
    </row>
    <row r="598" ht="22.5" customHeight="1">
      <c r="A598" s="233"/>
      <c r="B598" s="234"/>
      <c r="C598" s="234"/>
      <c r="D598" s="226"/>
      <c r="E598" s="226"/>
    </row>
    <row r="599" ht="22.5" customHeight="1">
      <c r="A599" s="233"/>
      <c r="B599" s="234"/>
      <c r="C599" s="234"/>
      <c r="D599" s="226"/>
      <c r="E599" s="226"/>
    </row>
    <row r="600" ht="22.5" customHeight="1">
      <c r="A600" s="233"/>
      <c r="B600" s="234"/>
      <c r="C600" s="234"/>
      <c r="D600" s="226"/>
      <c r="E600" s="226"/>
    </row>
    <row r="601" ht="22.5" customHeight="1">
      <c r="A601" s="233"/>
      <c r="B601" s="234"/>
      <c r="C601" s="234"/>
      <c r="D601" s="226"/>
      <c r="E601" s="226"/>
    </row>
    <row r="602" ht="22.5" customHeight="1">
      <c r="A602" s="233"/>
      <c r="B602" s="234"/>
      <c r="C602" s="234"/>
      <c r="D602" s="226"/>
      <c r="E602" s="226"/>
    </row>
    <row r="603" ht="22.5" customHeight="1">
      <c r="A603" s="233"/>
      <c r="B603" s="234"/>
      <c r="C603" s="234"/>
      <c r="D603" s="226"/>
      <c r="E603" s="226"/>
    </row>
    <row r="604" ht="22.5" customHeight="1">
      <c r="A604" s="233"/>
      <c r="B604" s="234"/>
      <c r="C604" s="234"/>
      <c r="D604" s="226"/>
      <c r="E604" s="226"/>
    </row>
    <row r="605" ht="22.5" customHeight="1">
      <c r="A605" s="233"/>
      <c r="B605" s="234"/>
      <c r="C605" s="234"/>
      <c r="D605" s="226"/>
      <c r="E605" s="226"/>
    </row>
    <row r="606" ht="22.5" customHeight="1">
      <c r="A606" s="233"/>
      <c r="B606" s="234"/>
      <c r="C606" s="234"/>
      <c r="D606" s="226"/>
      <c r="E606" s="226"/>
    </row>
    <row r="607" ht="22.5" customHeight="1">
      <c r="A607" s="233"/>
      <c r="B607" s="234"/>
      <c r="C607" s="234"/>
      <c r="D607" s="226"/>
      <c r="E607" s="226"/>
    </row>
    <row r="608" ht="22.5" customHeight="1">
      <c r="A608" s="233"/>
      <c r="B608" s="234"/>
      <c r="C608" s="234"/>
      <c r="D608" s="226"/>
      <c r="E608" s="226"/>
    </row>
    <row r="609" ht="22.5" customHeight="1">
      <c r="A609" s="233"/>
      <c r="B609" s="234"/>
      <c r="C609" s="234"/>
      <c r="D609" s="226"/>
      <c r="E609" s="226"/>
    </row>
    <row r="610" ht="22.5" customHeight="1">
      <c r="A610" s="233"/>
      <c r="B610" s="234"/>
      <c r="C610" s="234"/>
      <c r="D610" s="226"/>
      <c r="E610" s="226"/>
    </row>
    <row r="611" ht="22.5" customHeight="1">
      <c r="A611" s="233"/>
      <c r="B611" s="234"/>
      <c r="C611" s="234"/>
      <c r="D611" s="226"/>
      <c r="E611" s="226"/>
    </row>
    <row r="612" ht="22.5" customHeight="1">
      <c r="A612" s="233"/>
      <c r="B612" s="234"/>
      <c r="C612" s="234"/>
      <c r="D612" s="226"/>
      <c r="E612" s="226"/>
    </row>
    <row r="613" ht="22.5" customHeight="1">
      <c r="A613" s="233"/>
      <c r="B613" s="234"/>
      <c r="C613" s="234"/>
      <c r="D613" s="226"/>
      <c r="E613" s="226"/>
    </row>
    <row r="614" ht="22.5" customHeight="1">
      <c r="A614" s="233"/>
      <c r="B614" s="234"/>
      <c r="C614" s="234"/>
      <c r="D614" s="226"/>
      <c r="E614" s="226"/>
    </row>
    <row r="615" ht="22.5" customHeight="1">
      <c r="A615" s="233"/>
      <c r="B615" s="234"/>
      <c r="C615" s="234"/>
      <c r="D615" s="226"/>
      <c r="E615" s="226"/>
    </row>
    <row r="616" ht="22.5" customHeight="1">
      <c r="A616" s="233"/>
      <c r="B616" s="234"/>
      <c r="C616" s="234"/>
      <c r="D616" s="226"/>
      <c r="E616" s="226"/>
    </row>
    <row r="617" ht="22.5" customHeight="1">
      <c r="A617" s="233"/>
      <c r="B617" s="234"/>
      <c r="C617" s="234"/>
      <c r="D617" s="226"/>
      <c r="E617" s="226"/>
    </row>
    <row r="618" ht="22.5" customHeight="1">
      <c r="A618" s="233"/>
      <c r="B618" s="234"/>
      <c r="C618" s="234"/>
      <c r="D618" s="226"/>
      <c r="E618" s="226"/>
    </row>
    <row r="619" ht="22.5" customHeight="1">
      <c r="A619" s="233"/>
      <c r="B619" s="234"/>
      <c r="C619" s="234"/>
      <c r="D619" s="226"/>
      <c r="E619" s="226"/>
    </row>
    <row r="620" ht="22.5" customHeight="1">
      <c r="A620" s="233"/>
      <c r="B620" s="234"/>
      <c r="C620" s="234"/>
      <c r="D620" s="226"/>
      <c r="E620" s="226"/>
    </row>
    <row r="621" ht="22.5" customHeight="1">
      <c r="A621" s="233"/>
      <c r="B621" s="234"/>
      <c r="C621" s="234"/>
      <c r="D621" s="226"/>
      <c r="E621" s="226"/>
    </row>
    <row r="622" ht="22.5" customHeight="1">
      <c r="A622" s="233"/>
      <c r="B622" s="234"/>
      <c r="C622" s="234"/>
      <c r="D622" s="226"/>
      <c r="E622" s="226"/>
    </row>
    <row r="623" ht="22.5" customHeight="1">
      <c r="A623" s="233"/>
      <c r="B623" s="234"/>
      <c r="C623" s="234"/>
      <c r="D623" s="226"/>
      <c r="E623" s="226"/>
    </row>
    <row r="624" ht="22.5" customHeight="1">
      <c r="A624" s="233"/>
      <c r="B624" s="234"/>
      <c r="C624" s="234"/>
      <c r="D624" s="226"/>
      <c r="E624" s="226"/>
    </row>
    <row r="625" ht="22.5" customHeight="1">
      <c r="A625" s="233"/>
      <c r="B625" s="234"/>
      <c r="C625" s="234"/>
      <c r="D625" s="226"/>
      <c r="E625" s="226"/>
    </row>
    <row r="626" ht="22.5" customHeight="1">
      <c r="A626" s="233"/>
      <c r="B626" s="234"/>
      <c r="C626" s="234"/>
      <c r="D626" s="226"/>
      <c r="E626" s="226"/>
    </row>
    <row r="627" ht="22.5" customHeight="1">
      <c r="A627" s="233"/>
      <c r="B627" s="234"/>
      <c r="C627" s="234"/>
      <c r="D627" s="226"/>
      <c r="E627" s="226"/>
    </row>
    <row r="628" ht="22.5" customHeight="1">
      <c r="A628" s="233"/>
      <c r="B628" s="234"/>
      <c r="C628" s="234"/>
      <c r="D628" s="226"/>
      <c r="E628" s="226"/>
    </row>
    <row r="629" ht="22.5" customHeight="1">
      <c r="A629" s="233"/>
      <c r="B629" s="234"/>
      <c r="C629" s="234"/>
      <c r="D629" s="226"/>
      <c r="E629" s="226"/>
    </row>
    <row r="630" ht="22.5" customHeight="1">
      <c r="A630" s="233"/>
      <c r="B630" s="234"/>
      <c r="C630" s="234"/>
      <c r="D630" s="226"/>
      <c r="E630" s="226"/>
    </row>
    <row r="631" ht="22.5" customHeight="1">
      <c r="A631" s="233"/>
      <c r="B631" s="234"/>
      <c r="C631" s="234"/>
      <c r="D631" s="226"/>
      <c r="E631" s="226"/>
    </row>
    <row r="632" ht="22.5" customHeight="1">
      <c r="A632" s="233"/>
      <c r="B632" s="234"/>
      <c r="C632" s="234"/>
      <c r="D632" s="226"/>
      <c r="E632" s="226"/>
    </row>
    <row r="633" ht="22.5" customHeight="1">
      <c r="A633" s="233"/>
      <c r="B633" s="234"/>
      <c r="C633" s="234"/>
      <c r="D633" s="226"/>
      <c r="E633" s="226"/>
    </row>
    <row r="634" ht="22.5" customHeight="1">
      <c r="A634" s="233"/>
      <c r="B634" s="234"/>
      <c r="C634" s="234"/>
      <c r="D634" s="226"/>
      <c r="E634" s="226"/>
    </row>
    <row r="635" ht="22.5" customHeight="1">
      <c r="A635" s="233"/>
      <c r="B635" s="234"/>
      <c r="C635" s="234"/>
      <c r="D635" s="226"/>
      <c r="E635" s="226"/>
    </row>
    <row r="636" ht="22.5" customHeight="1">
      <c r="A636" s="233"/>
      <c r="B636" s="234"/>
      <c r="C636" s="234"/>
      <c r="D636" s="226"/>
      <c r="E636" s="226"/>
    </row>
    <row r="637" ht="22.5" customHeight="1">
      <c r="A637" s="233"/>
      <c r="B637" s="234"/>
      <c r="C637" s="234"/>
      <c r="D637" s="226"/>
      <c r="E637" s="226"/>
    </row>
    <row r="638" ht="22.5" customHeight="1">
      <c r="A638" s="233"/>
      <c r="B638" s="234"/>
      <c r="C638" s="234"/>
      <c r="D638" s="226"/>
      <c r="E638" s="226"/>
    </row>
    <row r="639" ht="22.5" customHeight="1">
      <c r="A639" s="233"/>
      <c r="B639" s="234"/>
      <c r="C639" s="234"/>
      <c r="D639" s="226"/>
      <c r="E639" s="226"/>
    </row>
    <row r="640" ht="22.5" customHeight="1">
      <c r="A640" s="233"/>
      <c r="B640" s="234"/>
      <c r="C640" s="234"/>
      <c r="D640" s="226"/>
      <c r="E640" s="226"/>
    </row>
    <row r="641" ht="22.5" customHeight="1">
      <c r="A641" s="233"/>
      <c r="B641" s="234"/>
      <c r="C641" s="234"/>
      <c r="D641" s="226"/>
      <c r="E641" s="226"/>
    </row>
    <row r="642" ht="22.5" customHeight="1">
      <c r="A642" s="233"/>
      <c r="B642" s="234"/>
      <c r="C642" s="234"/>
      <c r="D642" s="226"/>
      <c r="E642" s="226"/>
    </row>
    <row r="643" ht="22.5" customHeight="1">
      <c r="A643" s="233"/>
      <c r="B643" s="234"/>
      <c r="C643" s="234"/>
      <c r="D643" s="226"/>
      <c r="E643" s="226"/>
    </row>
    <row r="644" ht="22.5" customHeight="1">
      <c r="A644" s="233"/>
      <c r="B644" s="234"/>
      <c r="C644" s="234"/>
      <c r="D644" s="226"/>
      <c r="E644" s="226"/>
    </row>
    <row r="645" ht="22.5" customHeight="1">
      <c r="A645" s="233"/>
      <c r="B645" s="234"/>
      <c r="C645" s="234"/>
      <c r="D645" s="226"/>
      <c r="E645" s="226"/>
    </row>
    <row r="646" ht="22.5" customHeight="1">
      <c r="A646" s="233"/>
      <c r="B646" s="234"/>
      <c r="C646" s="234"/>
      <c r="D646" s="226"/>
      <c r="E646" s="226"/>
    </row>
    <row r="647" ht="22.5" customHeight="1">
      <c r="A647" s="233"/>
      <c r="B647" s="234"/>
      <c r="C647" s="234"/>
      <c r="D647" s="226"/>
      <c r="E647" s="226"/>
    </row>
    <row r="648" ht="22.5" customHeight="1">
      <c r="A648" s="233"/>
      <c r="B648" s="234"/>
      <c r="C648" s="234"/>
      <c r="D648" s="226"/>
      <c r="E648" s="226"/>
    </row>
    <row r="649" ht="22.5" customHeight="1">
      <c r="A649" s="233"/>
      <c r="B649" s="234"/>
      <c r="C649" s="234"/>
      <c r="D649" s="226"/>
      <c r="E649" s="226"/>
    </row>
    <row r="650" ht="22.5" customHeight="1">
      <c r="A650" s="233"/>
      <c r="B650" s="234"/>
      <c r="C650" s="234"/>
      <c r="D650" s="226"/>
      <c r="E650" s="226"/>
    </row>
    <row r="651" ht="22.5" customHeight="1">
      <c r="A651" s="233"/>
      <c r="B651" s="234"/>
      <c r="C651" s="234"/>
      <c r="D651" s="226"/>
      <c r="E651" s="226"/>
    </row>
    <row r="652" ht="22.5" customHeight="1">
      <c r="A652" s="233"/>
      <c r="B652" s="234"/>
      <c r="C652" s="234"/>
      <c r="D652" s="226"/>
      <c r="E652" s="226"/>
    </row>
    <row r="653" ht="22.5" customHeight="1">
      <c r="A653" s="233"/>
      <c r="B653" s="234"/>
      <c r="C653" s="234"/>
      <c r="D653" s="226"/>
      <c r="E653" s="226"/>
    </row>
    <row r="654" ht="22.5" customHeight="1">
      <c r="A654" s="233"/>
      <c r="B654" s="234"/>
      <c r="C654" s="234"/>
      <c r="D654" s="226"/>
      <c r="E654" s="226"/>
    </row>
    <row r="655" ht="22.5" customHeight="1">
      <c r="A655" s="233"/>
      <c r="B655" s="234"/>
      <c r="C655" s="234"/>
      <c r="D655" s="226"/>
      <c r="E655" s="226"/>
    </row>
    <row r="656" ht="22.5" customHeight="1">
      <c r="A656" s="233"/>
      <c r="B656" s="234"/>
      <c r="C656" s="234"/>
      <c r="D656" s="226"/>
      <c r="E656" s="226"/>
    </row>
    <row r="657" ht="22.5" customHeight="1">
      <c r="A657" s="233"/>
      <c r="B657" s="234"/>
      <c r="C657" s="234"/>
      <c r="D657" s="226"/>
      <c r="E657" s="226"/>
    </row>
    <row r="658" ht="22.5" customHeight="1">
      <c r="A658" s="233"/>
      <c r="B658" s="234"/>
      <c r="C658" s="234"/>
      <c r="D658" s="226"/>
      <c r="E658" s="226"/>
    </row>
    <row r="659" ht="22.5" customHeight="1">
      <c r="A659" s="233"/>
      <c r="B659" s="234"/>
      <c r="C659" s="234"/>
      <c r="D659" s="226"/>
      <c r="E659" s="226"/>
    </row>
    <row r="660" ht="22.5" customHeight="1">
      <c r="A660" s="233"/>
      <c r="B660" s="234"/>
      <c r="C660" s="234"/>
      <c r="D660" s="226"/>
      <c r="E660" s="226"/>
    </row>
    <row r="661" ht="22.5" customHeight="1">
      <c r="A661" s="233"/>
      <c r="B661" s="234"/>
      <c r="C661" s="234"/>
      <c r="D661" s="226"/>
      <c r="E661" s="226"/>
    </row>
    <row r="662" ht="22.5" customHeight="1">
      <c r="A662" s="233"/>
      <c r="B662" s="234"/>
      <c r="C662" s="234"/>
      <c r="D662" s="226"/>
      <c r="E662" s="226"/>
    </row>
    <row r="663" ht="22.5" customHeight="1">
      <c r="A663" s="233"/>
      <c r="B663" s="234"/>
      <c r="C663" s="234"/>
      <c r="D663" s="226"/>
      <c r="E663" s="226"/>
    </row>
    <row r="664" ht="22.5" customHeight="1">
      <c r="A664" s="233"/>
      <c r="B664" s="234"/>
      <c r="C664" s="234"/>
      <c r="D664" s="226"/>
      <c r="E664" s="226"/>
    </row>
    <row r="665" ht="22.5" customHeight="1">
      <c r="A665" s="233"/>
      <c r="B665" s="234"/>
      <c r="C665" s="234"/>
      <c r="D665" s="226"/>
      <c r="E665" s="226"/>
    </row>
    <row r="666" ht="22.5" customHeight="1">
      <c r="A666" s="233"/>
      <c r="B666" s="234"/>
      <c r="C666" s="234"/>
      <c r="D666" s="226"/>
      <c r="E666" s="226"/>
    </row>
    <row r="667" ht="22.5" customHeight="1">
      <c r="A667" s="233"/>
      <c r="B667" s="234"/>
      <c r="C667" s="234"/>
      <c r="D667" s="226"/>
      <c r="E667" s="226"/>
    </row>
    <row r="668" ht="22.5" customHeight="1">
      <c r="A668" s="233"/>
      <c r="B668" s="234"/>
      <c r="C668" s="234"/>
      <c r="D668" s="226"/>
      <c r="E668" s="226"/>
    </row>
    <row r="669" ht="22.5" customHeight="1">
      <c r="A669" s="233"/>
      <c r="B669" s="234"/>
      <c r="C669" s="234"/>
      <c r="D669" s="226"/>
      <c r="E669" s="226"/>
    </row>
    <row r="670" ht="22.5" customHeight="1">
      <c r="A670" s="233"/>
      <c r="B670" s="234"/>
      <c r="C670" s="234"/>
      <c r="D670" s="226"/>
      <c r="E670" s="226"/>
    </row>
    <row r="671" ht="22.5" customHeight="1">
      <c r="A671" s="233"/>
      <c r="B671" s="234"/>
      <c r="C671" s="234"/>
      <c r="D671" s="226"/>
      <c r="E671" s="226"/>
    </row>
    <row r="672" ht="22.5" customHeight="1">
      <c r="A672" s="233"/>
      <c r="B672" s="234"/>
      <c r="C672" s="234"/>
      <c r="D672" s="226"/>
      <c r="E672" s="226"/>
    </row>
    <row r="673" ht="22.5" customHeight="1">
      <c r="A673" s="233"/>
      <c r="B673" s="234"/>
      <c r="C673" s="234"/>
      <c r="D673" s="226"/>
      <c r="E673" s="226"/>
    </row>
    <row r="674" ht="22.5" customHeight="1">
      <c r="A674" s="233"/>
      <c r="B674" s="234"/>
      <c r="C674" s="234"/>
      <c r="D674" s="226"/>
      <c r="E674" s="226"/>
    </row>
    <row r="675" ht="22.5" customHeight="1">
      <c r="A675" s="233"/>
      <c r="B675" s="234"/>
      <c r="C675" s="234"/>
      <c r="D675" s="226"/>
      <c r="E675" s="226"/>
    </row>
    <row r="676" ht="22.5" customHeight="1">
      <c r="A676" s="233"/>
      <c r="B676" s="234"/>
      <c r="C676" s="234"/>
      <c r="D676" s="226"/>
      <c r="E676" s="226"/>
    </row>
    <row r="677" ht="22.5" customHeight="1">
      <c r="A677" s="233"/>
      <c r="B677" s="234"/>
      <c r="C677" s="234"/>
      <c r="D677" s="226"/>
      <c r="E677" s="226"/>
    </row>
    <row r="678" ht="22.5" customHeight="1">
      <c r="A678" s="233"/>
      <c r="B678" s="234"/>
      <c r="C678" s="234"/>
      <c r="D678" s="226"/>
      <c r="E678" s="226"/>
    </row>
    <row r="679" ht="22.5" customHeight="1">
      <c r="A679" s="233"/>
      <c r="B679" s="234"/>
      <c r="C679" s="234"/>
      <c r="D679" s="226"/>
      <c r="E679" s="226"/>
    </row>
    <row r="680" ht="22.5" customHeight="1">
      <c r="A680" s="233"/>
      <c r="B680" s="234"/>
      <c r="C680" s="234"/>
      <c r="D680" s="226"/>
      <c r="E680" s="226"/>
    </row>
    <row r="681" ht="22.5" customHeight="1">
      <c r="A681" s="233"/>
      <c r="B681" s="234"/>
      <c r="C681" s="234"/>
      <c r="D681" s="226"/>
      <c r="E681" s="226"/>
    </row>
    <row r="682" ht="22.5" customHeight="1">
      <c r="A682" s="233"/>
      <c r="B682" s="234"/>
      <c r="C682" s="234"/>
      <c r="D682" s="226"/>
      <c r="E682" s="226"/>
    </row>
    <row r="683" ht="22.5" customHeight="1">
      <c r="A683" s="233"/>
      <c r="B683" s="234"/>
      <c r="C683" s="234"/>
      <c r="D683" s="226"/>
      <c r="E683" s="226"/>
    </row>
    <row r="684" ht="22.5" customHeight="1">
      <c r="A684" s="233"/>
      <c r="B684" s="234"/>
      <c r="C684" s="234"/>
      <c r="D684" s="226"/>
      <c r="E684" s="226"/>
    </row>
    <row r="685" ht="22.5" customHeight="1">
      <c r="A685" s="233"/>
      <c r="B685" s="234"/>
      <c r="C685" s="234"/>
      <c r="D685" s="226"/>
      <c r="E685" s="226"/>
    </row>
    <row r="686" ht="22.5" customHeight="1">
      <c r="A686" s="233"/>
      <c r="B686" s="234"/>
      <c r="C686" s="234"/>
      <c r="D686" s="226"/>
      <c r="E686" s="226"/>
    </row>
    <row r="687" ht="22.5" customHeight="1">
      <c r="A687" s="233"/>
      <c r="B687" s="234"/>
      <c r="C687" s="234"/>
      <c r="D687" s="226"/>
      <c r="E687" s="226"/>
    </row>
    <row r="688" ht="22.5" customHeight="1">
      <c r="A688" s="233"/>
      <c r="B688" s="234"/>
      <c r="C688" s="234"/>
      <c r="D688" s="226"/>
      <c r="E688" s="226"/>
    </row>
    <row r="689" ht="22.5" customHeight="1">
      <c r="A689" s="233"/>
      <c r="B689" s="234"/>
      <c r="C689" s="234"/>
      <c r="D689" s="226"/>
      <c r="E689" s="226"/>
    </row>
    <row r="690" ht="22.5" customHeight="1">
      <c r="A690" s="233"/>
      <c r="B690" s="234"/>
      <c r="C690" s="234"/>
      <c r="D690" s="226"/>
      <c r="E690" s="226"/>
    </row>
    <row r="691" ht="22.5" customHeight="1">
      <c r="A691" s="233"/>
      <c r="B691" s="234"/>
      <c r="C691" s="234"/>
      <c r="D691" s="226"/>
      <c r="E691" s="226"/>
    </row>
    <row r="692" ht="22.5" customHeight="1">
      <c r="A692" s="233"/>
      <c r="B692" s="234"/>
      <c r="C692" s="234"/>
      <c r="D692" s="226"/>
      <c r="E692" s="226"/>
    </row>
    <row r="693" ht="22.5" customHeight="1">
      <c r="A693" s="233"/>
      <c r="B693" s="234"/>
      <c r="C693" s="234"/>
      <c r="D693" s="226"/>
      <c r="E693" s="226"/>
    </row>
    <row r="694" ht="22.5" customHeight="1">
      <c r="A694" s="233"/>
      <c r="B694" s="234"/>
      <c r="C694" s="234"/>
      <c r="D694" s="226"/>
      <c r="E694" s="226"/>
    </row>
    <row r="695" ht="22.5" customHeight="1">
      <c r="A695" s="233"/>
      <c r="B695" s="234"/>
      <c r="C695" s="234"/>
      <c r="D695" s="226"/>
      <c r="E695" s="226"/>
    </row>
    <row r="696" ht="22.5" customHeight="1">
      <c r="A696" s="233"/>
      <c r="B696" s="234"/>
      <c r="C696" s="234"/>
      <c r="D696" s="226"/>
      <c r="E696" s="226"/>
    </row>
    <row r="697" ht="22.5" customHeight="1">
      <c r="A697" s="233"/>
      <c r="B697" s="234"/>
      <c r="C697" s="234"/>
      <c r="D697" s="226"/>
      <c r="E697" s="226"/>
    </row>
    <row r="698" ht="22.5" customHeight="1">
      <c r="A698" s="233"/>
      <c r="B698" s="234"/>
      <c r="C698" s="234"/>
      <c r="D698" s="226"/>
      <c r="E698" s="226"/>
    </row>
    <row r="699" ht="22.5" customHeight="1">
      <c r="A699" s="233"/>
      <c r="B699" s="234"/>
      <c r="C699" s="234"/>
      <c r="D699" s="226"/>
      <c r="E699" s="226"/>
    </row>
    <row r="700" ht="22.5" customHeight="1">
      <c r="A700" s="233"/>
      <c r="B700" s="234"/>
      <c r="C700" s="234"/>
      <c r="D700" s="226"/>
      <c r="E700" s="226"/>
    </row>
    <row r="701" ht="22.5" customHeight="1">
      <c r="A701" s="233"/>
      <c r="B701" s="234"/>
      <c r="C701" s="234"/>
      <c r="D701" s="226"/>
      <c r="E701" s="226"/>
    </row>
    <row r="702" ht="22.5" customHeight="1">
      <c r="A702" s="233"/>
      <c r="B702" s="234"/>
      <c r="C702" s="234"/>
      <c r="D702" s="226"/>
      <c r="E702" s="226"/>
    </row>
    <row r="703" ht="22.5" customHeight="1">
      <c r="A703" s="233"/>
      <c r="B703" s="234"/>
      <c r="C703" s="234"/>
      <c r="D703" s="226"/>
      <c r="E703" s="226"/>
    </row>
    <row r="704" ht="22.5" customHeight="1">
      <c r="A704" s="233"/>
      <c r="B704" s="234"/>
      <c r="C704" s="234"/>
      <c r="D704" s="226"/>
      <c r="E704" s="226"/>
    </row>
    <row r="705" ht="22.5" customHeight="1">
      <c r="A705" s="233"/>
      <c r="B705" s="234"/>
      <c r="C705" s="234"/>
      <c r="D705" s="226"/>
      <c r="E705" s="226"/>
    </row>
    <row r="706" ht="22.5" customHeight="1">
      <c r="A706" s="233"/>
      <c r="B706" s="234"/>
      <c r="C706" s="234"/>
      <c r="D706" s="226"/>
      <c r="E706" s="226"/>
    </row>
    <row r="707" ht="22.5" customHeight="1">
      <c r="A707" s="233"/>
      <c r="B707" s="234"/>
      <c r="C707" s="234"/>
      <c r="D707" s="226"/>
      <c r="E707" s="226"/>
    </row>
    <row r="708" ht="22.5" customHeight="1">
      <c r="A708" s="233"/>
      <c r="B708" s="234"/>
      <c r="C708" s="234"/>
      <c r="D708" s="226"/>
      <c r="E708" s="226"/>
    </row>
    <row r="709" ht="22.5" customHeight="1">
      <c r="A709" s="233"/>
      <c r="B709" s="234"/>
      <c r="C709" s="234"/>
      <c r="D709" s="226"/>
      <c r="E709" s="226"/>
    </row>
    <row r="710" ht="22.5" customHeight="1">
      <c r="A710" s="233"/>
      <c r="B710" s="234"/>
      <c r="C710" s="234"/>
      <c r="D710" s="226"/>
      <c r="E710" s="226"/>
    </row>
    <row r="711" ht="22.5" customHeight="1">
      <c r="A711" s="233"/>
      <c r="B711" s="234"/>
      <c r="C711" s="234"/>
      <c r="D711" s="226"/>
      <c r="E711" s="226"/>
    </row>
    <row r="712" ht="22.5" customHeight="1">
      <c r="A712" s="233"/>
      <c r="B712" s="234"/>
      <c r="C712" s="234"/>
      <c r="D712" s="226"/>
      <c r="E712" s="226"/>
    </row>
    <row r="713" ht="22.5" customHeight="1">
      <c r="A713" s="233"/>
      <c r="B713" s="234"/>
      <c r="C713" s="234"/>
      <c r="D713" s="226"/>
      <c r="E713" s="226"/>
    </row>
    <row r="714" ht="22.5" customHeight="1">
      <c r="A714" s="233"/>
      <c r="B714" s="234"/>
      <c r="C714" s="234"/>
      <c r="D714" s="226"/>
      <c r="E714" s="226"/>
    </row>
    <row r="715" ht="22.5" customHeight="1">
      <c r="A715" s="233"/>
      <c r="B715" s="234"/>
      <c r="C715" s="234"/>
      <c r="D715" s="226"/>
      <c r="E715" s="226"/>
    </row>
    <row r="716" ht="22.5" customHeight="1">
      <c r="A716" s="233"/>
      <c r="B716" s="234"/>
      <c r="C716" s="234"/>
      <c r="D716" s="226"/>
      <c r="E716" s="226"/>
    </row>
    <row r="717" ht="22.5" customHeight="1">
      <c r="A717" s="233"/>
      <c r="B717" s="234"/>
      <c r="C717" s="234"/>
      <c r="D717" s="226"/>
      <c r="E717" s="226"/>
    </row>
    <row r="718" ht="22.5" customHeight="1">
      <c r="A718" s="233"/>
      <c r="B718" s="234"/>
      <c r="C718" s="234"/>
      <c r="D718" s="226"/>
      <c r="E718" s="226"/>
    </row>
    <row r="719" ht="22.5" customHeight="1">
      <c r="A719" s="233"/>
      <c r="B719" s="234"/>
      <c r="C719" s="234"/>
      <c r="D719" s="226"/>
      <c r="E719" s="226"/>
    </row>
    <row r="720" ht="22.5" customHeight="1">
      <c r="A720" s="233"/>
      <c r="B720" s="234"/>
      <c r="C720" s="234"/>
      <c r="D720" s="226"/>
      <c r="E720" s="226"/>
    </row>
    <row r="721" ht="22.5" customHeight="1">
      <c r="A721" s="233"/>
      <c r="B721" s="234"/>
      <c r="C721" s="234"/>
      <c r="D721" s="226"/>
      <c r="E721" s="226"/>
    </row>
    <row r="722" ht="22.5" customHeight="1">
      <c r="A722" s="233"/>
      <c r="B722" s="234"/>
      <c r="C722" s="234"/>
      <c r="D722" s="226"/>
      <c r="E722" s="226"/>
    </row>
    <row r="723" ht="22.5" customHeight="1">
      <c r="A723" s="233"/>
      <c r="B723" s="234"/>
      <c r="C723" s="234"/>
      <c r="D723" s="226"/>
      <c r="E723" s="226"/>
    </row>
    <row r="724" ht="22.5" customHeight="1">
      <c r="A724" s="233"/>
      <c r="B724" s="234"/>
      <c r="C724" s="234"/>
      <c r="D724" s="226"/>
      <c r="E724" s="226"/>
    </row>
    <row r="725" ht="22.5" customHeight="1">
      <c r="A725" s="233"/>
      <c r="B725" s="234"/>
      <c r="C725" s="234"/>
      <c r="D725" s="226"/>
      <c r="E725" s="226"/>
    </row>
    <row r="726" ht="22.5" customHeight="1">
      <c r="A726" s="233"/>
      <c r="B726" s="234"/>
      <c r="C726" s="234"/>
      <c r="D726" s="226"/>
      <c r="E726" s="226"/>
    </row>
    <row r="727" ht="22.5" customHeight="1">
      <c r="A727" s="233"/>
      <c r="B727" s="234"/>
      <c r="C727" s="234"/>
      <c r="D727" s="226"/>
      <c r="E727" s="226"/>
    </row>
    <row r="728" ht="22.5" customHeight="1">
      <c r="A728" s="233"/>
      <c r="B728" s="234"/>
      <c r="C728" s="234"/>
      <c r="D728" s="226"/>
      <c r="E728" s="226"/>
    </row>
    <row r="729" ht="22.5" customHeight="1">
      <c r="A729" s="233"/>
      <c r="B729" s="234"/>
      <c r="C729" s="234"/>
      <c r="D729" s="226"/>
      <c r="E729" s="226"/>
    </row>
    <row r="730" ht="22.5" customHeight="1">
      <c r="A730" s="233"/>
      <c r="B730" s="234"/>
      <c r="C730" s="234"/>
      <c r="D730" s="226"/>
      <c r="E730" s="226"/>
    </row>
    <row r="731" ht="22.5" customHeight="1">
      <c r="A731" s="233"/>
      <c r="B731" s="234"/>
      <c r="C731" s="234"/>
      <c r="D731" s="226"/>
      <c r="E731" s="226"/>
    </row>
    <row r="732" ht="22.5" customHeight="1">
      <c r="A732" s="233"/>
      <c r="B732" s="234"/>
      <c r="C732" s="234"/>
      <c r="D732" s="226"/>
      <c r="E732" s="226"/>
    </row>
    <row r="733" ht="22.5" customHeight="1">
      <c r="A733" s="233"/>
      <c r="B733" s="234"/>
      <c r="C733" s="234"/>
      <c r="D733" s="226"/>
      <c r="E733" s="226"/>
    </row>
    <row r="734" ht="22.5" customHeight="1">
      <c r="A734" s="233"/>
      <c r="B734" s="234"/>
      <c r="C734" s="234"/>
      <c r="D734" s="226"/>
      <c r="E734" s="226"/>
    </row>
    <row r="735" ht="22.5" customHeight="1">
      <c r="A735" s="233"/>
      <c r="B735" s="234"/>
      <c r="C735" s="234"/>
      <c r="D735" s="226"/>
      <c r="E735" s="226"/>
    </row>
    <row r="736" ht="22.5" customHeight="1">
      <c r="A736" s="233"/>
      <c r="B736" s="234"/>
      <c r="C736" s="234"/>
      <c r="D736" s="226"/>
      <c r="E736" s="226"/>
    </row>
    <row r="737" ht="22.5" customHeight="1">
      <c r="A737" s="233"/>
      <c r="B737" s="234"/>
      <c r="C737" s="234"/>
      <c r="D737" s="226"/>
      <c r="E737" s="226"/>
    </row>
    <row r="738" ht="22.5" customHeight="1">
      <c r="A738" s="233"/>
      <c r="B738" s="234"/>
      <c r="C738" s="234"/>
      <c r="D738" s="226"/>
      <c r="E738" s="226"/>
    </row>
    <row r="739" ht="22.5" customHeight="1">
      <c r="A739" s="233"/>
      <c r="B739" s="234"/>
      <c r="C739" s="234"/>
      <c r="D739" s="226"/>
      <c r="E739" s="226"/>
    </row>
    <row r="740" ht="22.5" customHeight="1">
      <c r="A740" s="233"/>
      <c r="B740" s="234"/>
      <c r="C740" s="234"/>
      <c r="D740" s="226"/>
      <c r="E740" s="226"/>
    </row>
    <row r="741" ht="22.5" customHeight="1">
      <c r="A741" s="233"/>
      <c r="B741" s="234"/>
      <c r="C741" s="234"/>
      <c r="D741" s="226"/>
      <c r="E741" s="226"/>
    </row>
    <row r="742" ht="22.5" customHeight="1">
      <c r="A742" s="233"/>
      <c r="B742" s="234"/>
      <c r="C742" s="234"/>
      <c r="D742" s="226"/>
      <c r="E742" s="226"/>
    </row>
    <row r="743" ht="22.5" customHeight="1">
      <c r="A743" s="233"/>
      <c r="B743" s="234"/>
      <c r="C743" s="234"/>
      <c r="D743" s="226"/>
      <c r="E743" s="226"/>
    </row>
    <row r="744" ht="22.5" customHeight="1">
      <c r="A744" s="233"/>
      <c r="B744" s="234"/>
      <c r="C744" s="234"/>
      <c r="D744" s="226"/>
      <c r="E744" s="226"/>
    </row>
    <row r="745" ht="22.5" customHeight="1">
      <c r="A745" s="233"/>
      <c r="B745" s="234"/>
      <c r="C745" s="234"/>
      <c r="D745" s="226"/>
      <c r="E745" s="226"/>
    </row>
    <row r="746" ht="22.5" customHeight="1">
      <c r="A746" s="233"/>
      <c r="B746" s="234"/>
      <c r="C746" s="234"/>
      <c r="D746" s="226"/>
      <c r="E746" s="226"/>
    </row>
    <row r="747" ht="22.5" customHeight="1">
      <c r="A747" s="233"/>
      <c r="B747" s="234"/>
      <c r="C747" s="234"/>
      <c r="D747" s="226"/>
      <c r="E747" s="226"/>
    </row>
    <row r="748" ht="22.5" customHeight="1">
      <c r="A748" s="233"/>
      <c r="B748" s="234"/>
      <c r="C748" s="234"/>
      <c r="D748" s="226"/>
      <c r="E748" s="226"/>
    </row>
    <row r="749" ht="22.5" customHeight="1">
      <c r="A749" s="233"/>
      <c r="B749" s="234"/>
      <c r="C749" s="234"/>
      <c r="D749" s="226"/>
      <c r="E749" s="226"/>
    </row>
    <row r="750" ht="22.5" customHeight="1">
      <c r="A750" s="233"/>
      <c r="B750" s="234"/>
      <c r="C750" s="234"/>
      <c r="D750" s="226"/>
      <c r="E750" s="226"/>
    </row>
    <row r="751" ht="22.5" customHeight="1">
      <c r="A751" s="233"/>
      <c r="B751" s="234"/>
      <c r="C751" s="234"/>
      <c r="D751" s="226"/>
      <c r="E751" s="226"/>
    </row>
    <row r="752" ht="22.5" customHeight="1">
      <c r="A752" s="233"/>
      <c r="B752" s="234"/>
      <c r="C752" s="234"/>
      <c r="D752" s="226"/>
      <c r="E752" s="226"/>
    </row>
    <row r="753" ht="22.5" customHeight="1">
      <c r="A753" s="233"/>
      <c r="B753" s="234"/>
      <c r="C753" s="234"/>
      <c r="D753" s="226"/>
      <c r="E753" s="226"/>
    </row>
    <row r="754" ht="22.5" customHeight="1">
      <c r="A754" s="233"/>
      <c r="B754" s="234"/>
      <c r="C754" s="234"/>
      <c r="D754" s="226"/>
      <c r="E754" s="226"/>
    </row>
    <row r="755" ht="22.5" customHeight="1">
      <c r="A755" s="233"/>
      <c r="B755" s="234"/>
      <c r="C755" s="234"/>
      <c r="D755" s="226"/>
      <c r="E755" s="226"/>
    </row>
    <row r="756" ht="22.5" customHeight="1">
      <c r="A756" s="233"/>
      <c r="B756" s="234"/>
      <c r="C756" s="234"/>
      <c r="D756" s="226"/>
      <c r="E756" s="226"/>
    </row>
    <row r="757" ht="22.5" customHeight="1">
      <c r="A757" s="233"/>
      <c r="B757" s="234"/>
      <c r="C757" s="234"/>
      <c r="D757" s="226"/>
      <c r="E757" s="226"/>
    </row>
    <row r="758" ht="22.5" customHeight="1">
      <c r="A758" s="233"/>
      <c r="B758" s="234"/>
      <c r="C758" s="234"/>
      <c r="D758" s="226"/>
      <c r="E758" s="226"/>
    </row>
    <row r="759" ht="22.5" customHeight="1">
      <c r="A759" s="233"/>
      <c r="B759" s="234"/>
      <c r="C759" s="234"/>
      <c r="D759" s="226"/>
      <c r="E759" s="226"/>
    </row>
    <row r="760" ht="22.5" customHeight="1">
      <c r="A760" s="233"/>
      <c r="B760" s="234"/>
      <c r="C760" s="234"/>
      <c r="D760" s="226"/>
      <c r="E760" s="226"/>
    </row>
    <row r="761" ht="22.5" customHeight="1">
      <c r="A761" s="233"/>
      <c r="B761" s="234"/>
      <c r="C761" s="234"/>
      <c r="D761" s="226"/>
      <c r="E761" s="226"/>
    </row>
    <row r="762" ht="22.5" customHeight="1">
      <c r="A762" s="233"/>
      <c r="B762" s="234"/>
      <c r="C762" s="234"/>
      <c r="D762" s="226"/>
      <c r="E762" s="226"/>
    </row>
    <row r="763" ht="22.5" customHeight="1">
      <c r="A763" s="233"/>
      <c r="B763" s="234"/>
      <c r="C763" s="234"/>
      <c r="D763" s="226"/>
      <c r="E763" s="226"/>
    </row>
    <row r="764" ht="22.5" customHeight="1">
      <c r="A764" s="233"/>
      <c r="B764" s="234"/>
      <c r="C764" s="234"/>
      <c r="D764" s="226"/>
      <c r="E764" s="226"/>
    </row>
    <row r="765" ht="22.5" customHeight="1">
      <c r="A765" s="233"/>
      <c r="B765" s="234"/>
      <c r="C765" s="234"/>
      <c r="D765" s="226"/>
      <c r="E765" s="226"/>
    </row>
    <row r="766" ht="22.5" customHeight="1">
      <c r="A766" s="233"/>
      <c r="B766" s="234"/>
      <c r="C766" s="234"/>
      <c r="D766" s="226"/>
      <c r="E766" s="226"/>
    </row>
    <row r="767" ht="22.5" customHeight="1">
      <c r="A767" s="233"/>
      <c r="B767" s="234"/>
      <c r="C767" s="234"/>
      <c r="D767" s="226"/>
      <c r="E767" s="226"/>
    </row>
    <row r="768" ht="22.5" customHeight="1">
      <c r="A768" s="233"/>
      <c r="B768" s="234"/>
      <c r="C768" s="234"/>
      <c r="D768" s="226"/>
      <c r="E768" s="226"/>
    </row>
    <row r="769" ht="22.5" customHeight="1">
      <c r="A769" s="233"/>
      <c r="B769" s="234"/>
      <c r="C769" s="234"/>
      <c r="D769" s="226"/>
      <c r="E769" s="226"/>
    </row>
    <row r="770" ht="22.5" customHeight="1">
      <c r="A770" s="233"/>
      <c r="B770" s="234"/>
      <c r="C770" s="234"/>
      <c r="D770" s="226"/>
      <c r="E770" s="226"/>
    </row>
    <row r="771" ht="22.5" customHeight="1">
      <c r="A771" s="233"/>
      <c r="B771" s="234"/>
      <c r="C771" s="234"/>
      <c r="D771" s="226"/>
      <c r="E771" s="226"/>
    </row>
    <row r="772" ht="22.5" customHeight="1">
      <c r="A772" s="233"/>
      <c r="B772" s="234"/>
      <c r="C772" s="234"/>
      <c r="D772" s="226"/>
      <c r="E772" s="226"/>
    </row>
    <row r="773" ht="22.5" customHeight="1">
      <c r="A773" s="233"/>
      <c r="B773" s="234"/>
      <c r="C773" s="234"/>
      <c r="D773" s="226"/>
      <c r="E773" s="226"/>
    </row>
    <row r="774" ht="22.5" customHeight="1">
      <c r="A774" s="233"/>
      <c r="B774" s="234"/>
      <c r="C774" s="234"/>
      <c r="D774" s="226"/>
      <c r="E774" s="226"/>
    </row>
    <row r="775" ht="22.5" customHeight="1">
      <c r="A775" s="233"/>
      <c r="B775" s="234"/>
      <c r="C775" s="234"/>
      <c r="D775" s="226"/>
      <c r="E775" s="226"/>
    </row>
    <row r="776" ht="22.5" customHeight="1">
      <c r="A776" s="233"/>
      <c r="B776" s="234"/>
      <c r="C776" s="234"/>
      <c r="D776" s="226"/>
      <c r="E776" s="226"/>
    </row>
    <row r="777" ht="22.5" customHeight="1">
      <c r="A777" s="233"/>
      <c r="B777" s="234"/>
      <c r="C777" s="234"/>
      <c r="D777" s="226"/>
      <c r="E777" s="226"/>
    </row>
    <row r="778" ht="22.5" customHeight="1">
      <c r="A778" s="233"/>
      <c r="B778" s="234"/>
      <c r="C778" s="234"/>
      <c r="D778" s="226"/>
      <c r="E778" s="226"/>
    </row>
    <row r="779" ht="22.5" customHeight="1">
      <c r="A779" s="233"/>
      <c r="B779" s="234"/>
      <c r="C779" s="234"/>
      <c r="D779" s="226"/>
      <c r="E779" s="226"/>
    </row>
    <row r="780" ht="22.5" customHeight="1">
      <c r="A780" s="233"/>
      <c r="B780" s="234"/>
      <c r="C780" s="234"/>
      <c r="D780" s="226"/>
      <c r="E780" s="226"/>
    </row>
    <row r="781" ht="22.5" customHeight="1">
      <c r="A781" s="233"/>
      <c r="B781" s="234"/>
      <c r="C781" s="234"/>
      <c r="D781" s="226"/>
      <c r="E781" s="226"/>
    </row>
    <row r="782" ht="22.5" customHeight="1">
      <c r="A782" s="233"/>
      <c r="B782" s="234"/>
      <c r="C782" s="234"/>
      <c r="D782" s="226"/>
      <c r="E782" s="226"/>
    </row>
    <row r="783" ht="22.5" customHeight="1">
      <c r="A783" s="233"/>
      <c r="B783" s="234"/>
      <c r="C783" s="234"/>
      <c r="D783" s="226"/>
      <c r="E783" s="226"/>
    </row>
    <row r="784" ht="22.5" customHeight="1">
      <c r="A784" s="233"/>
      <c r="B784" s="234"/>
      <c r="C784" s="234"/>
      <c r="D784" s="226"/>
      <c r="E784" s="226"/>
    </row>
    <row r="785" ht="22.5" customHeight="1">
      <c r="A785" s="233"/>
      <c r="B785" s="234"/>
      <c r="C785" s="234"/>
      <c r="D785" s="226"/>
      <c r="E785" s="226"/>
    </row>
    <row r="786" ht="22.5" customHeight="1">
      <c r="A786" s="233"/>
      <c r="B786" s="234"/>
      <c r="C786" s="234"/>
      <c r="D786" s="226"/>
      <c r="E786" s="226"/>
    </row>
    <row r="787" ht="22.5" customHeight="1">
      <c r="A787" s="233"/>
      <c r="B787" s="234"/>
      <c r="C787" s="234"/>
      <c r="D787" s="226"/>
      <c r="E787" s="226"/>
    </row>
    <row r="788" ht="22.5" customHeight="1">
      <c r="A788" s="233"/>
      <c r="B788" s="234"/>
      <c r="C788" s="234"/>
      <c r="D788" s="226"/>
      <c r="E788" s="226"/>
    </row>
    <row r="789" ht="22.5" customHeight="1">
      <c r="A789" s="233"/>
      <c r="B789" s="234"/>
      <c r="C789" s="234"/>
      <c r="D789" s="226"/>
      <c r="E789" s="226"/>
    </row>
    <row r="790" ht="22.5" customHeight="1">
      <c r="A790" s="233"/>
      <c r="B790" s="234"/>
      <c r="C790" s="234"/>
      <c r="D790" s="226"/>
      <c r="E790" s="226"/>
    </row>
    <row r="791" ht="22.5" customHeight="1">
      <c r="A791" s="233"/>
      <c r="B791" s="234"/>
      <c r="C791" s="234"/>
      <c r="D791" s="226"/>
      <c r="E791" s="226"/>
    </row>
    <row r="792" ht="22.5" customHeight="1">
      <c r="A792" s="233"/>
      <c r="B792" s="234"/>
      <c r="C792" s="234"/>
      <c r="D792" s="226"/>
      <c r="E792" s="226"/>
    </row>
    <row r="793" ht="22.5" customHeight="1">
      <c r="A793" s="233"/>
      <c r="B793" s="234"/>
      <c r="C793" s="234"/>
      <c r="D793" s="226"/>
      <c r="E793" s="226"/>
    </row>
    <row r="794" ht="22.5" customHeight="1">
      <c r="A794" s="233"/>
      <c r="B794" s="234"/>
      <c r="C794" s="234"/>
      <c r="D794" s="226"/>
      <c r="E794" s="226"/>
    </row>
    <row r="795" ht="22.5" customHeight="1">
      <c r="A795" s="233"/>
      <c r="B795" s="234"/>
      <c r="C795" s="234"/>
      <c r="D795" s="226"/>
      <c r="E795" s="226"/>
    </row>
    <row r="796" ht="22.5" customHeight="1">
      <c r="A796" s="233"/>
      <c r="B796" s="234"/>
      <c r="C796" s="234"/>
      <c r="D796" s="226"/>
      <c r="E796" s="226"/>
    </row>
    <row r="797" ht="22.5" customHeight="1">
      <c r="A797" s="233"/>
      <c r="B797" s="234"/>
      <c r="C797" s="234"/>
      <c r="D797" s="226"/>
      <c r="E797" s="226"/>
    </row>
    <row r="798" ht="22.5" customHeight="1">
      <c r="A798" s="233"/>
      <c r="B798" s="234"/>
      <c r="C798" s="234"/>
      <c r="D798" s="226"/>
      <c r="E798" s="226"/>
    </row>
    <row r="799" ht="22.5" customHeight="1">
      <c r="A799" s="233"/>
      <c r="B799" s="234"/>
      <c r="C799" s="234"/>
      <c r="D799" s="226"/>
      <c r="E799" s="226"/>
    </row>
    <row r="800" ht="22.5" customHeight="1">
      <c r="A800" s="233"/>
      <c r="B800" s="234"/>
      <c r="C800" s="234"/>
      <c r="D800" s="226"/>
      <c r="E800" s="226"/>
    </row>
    <row r="801" ht="22.5" customHeight="1">
      <c r="A801" s="233"/>
      <c r="B801" s="234"/>
      <c r="C801" s="234"/>
      <c r="D801" s="226"/>
      <c r="E801" s="226"/>
    </row>
    <row r="802" ht="22.5" customHeight="1">
      <c r="A802" s="233"/>
      <c r="B802" s="234"/>
      <c r="C802" s="234"/>
      <c r="D802" s="226"/>
      <c r="E802" s="226"/>
    </row>
    <row r="803" ht="22.5" customHeight="1">
      <c r="A803" s="233"/>
      <c r="B803" s="234"/>
      <c r="C803" s="234"/>
      <c r="D803" s="226"/>
      <c r="E803" s="226"/>
    </row>
    <row r="804" ht="22.5" customHeight="1">
      <c r="A804" s="233"/>
      <c r="B804" s="234"/>
      <c r="C804" s="234"/>
      <c r="D804" s="226"/>
      <c r="E804" s="226"/>
    </row>
    <row r="805" ht="22.5" customHeight="1">
      <c r="A805" s="233"/>
      <c r="B805" s="234"/>
      <c r="C805" s="234"/>
      <c r="D805" s="226"/>
      <c r="E805" s="226"/>
    </row>
    <row r="806" ht="22.5" customHeight="1">
      <c r="A806" s="233"/>
      <c r="B806" s="234"/>
      <c r="C806" s="234"/>
      <c r="D806" s="226"/>
      <c r="E806" s="226"/>
    </row>
    <row r="807" ht="22.5" customHeight="1">
      <c r="A807" s="233"/>
      <c r="B807" s="234"/>
      <c r="C807" s="234"/>
      <c r="D807" s="226"/>
      <c r="E807" s="226"/>
    </row>
    <row r="808" ht="22.5" customHeight="1">
      <c r="A808" s="233"/>
      <c r="B808" s="234"/>
      <c r="C808" s="234"/>
      <c r="D808" s="226"/>
      <c r="E808" s="226"/>
    </row>
    <row r="809" ht="22.5" customHeight="1">
      <c r="A809" s="233"/>
      <c r="B809" s="234"/>
      <c r="C809" s="234"/>
      <c r="D809" s="226"/>
      <c r="E809" s="226"/>
    </row>
    <row r="810" ht="22.5" customHeight="1">
      <c r="A810" s="233"/>
      <c r="B810" s="234"/>
      <c r="C810" s="234"/>
      <c r="D810" s="226"/>
      <c r="E810" s="226"/>
    </row>
    <row r="811" ht="22.5" customHeight="1">
      <c r="A811" s="233"/>
      <c r="B811" s="234"/>
      <c r="C811" s="234"/>
      <c r="D811" s="226"/>
      <c r="E811" s="226"/>
    </row>
    <row r="812" ht="22.5" customHeight="1">
      <c r="A812" s="233"/>
      <c r="B812" s="234"/>
      <c r="C812" s="234"/>
      <c r="D812" s="226"/>
      <c r="E812" s="226"/>
    </row>
    <row r="813" ht="22.5" customHeight="1">
      <c r="A813" s="233"/>
      <c r="B813" s="234"/>
      <c r="C813" s="234"/>
      <c r="D813" s="226"/>
      <c r="E813" s="226"/>
    </row>
    <row r="814" ht="22.5" customHeight="1">
      <c r="A814" s="233"/>
      <c r="B814" s="234"/>
      <c r="C814" s="234"/>
      <c r="D814" s="226"/>
      <c r="E814" s="226"/>
    </row>
    <row r="815" ht="22.5" customHeight="1">
      <c r="A815" s="233"/>
      <c r="B815" s="234"/>
      <c r="C815" s="234"/>
      <c r="D815" s="226"/>
      <c r="E815" s="226"/>
    </row>
    <row r="816" ht="22.5" customHeight="1">
      <c r="A816" s="233"/>
      <c r="B816" s="234"/>
      <c r="C816" s="234"/>
      <c r="D816" s="226"/>
      <c r="E816" s="226"/>
    </row>
    <row r="817" ht="22.5" customHeight="1">
      <c r="A817" s="233"/>
      <c r="B817" s="234"/>
      <c r="C817" s="234"/>
      <c r="D817" s="226"/>
      <c r="E817" s="226"/>
    </row>
    <row r="818" ht="22.5" customHeight="1">
      <c r="A818" s="233"/>
      <c r="B818" s="234"/>
      <c r="C818" s="234"/>
      <c r="D818" s="226"/>
      <c r="E818" s="226"/>
    </row>
    <row r="819" ht="22.5" customHeight="1">
      <c r="A819" s="233"/>
      <c r="B819" s="234"/>
      <c r="C819" s="234"/>
      <c r="D819" s="226"/>
      <c r="E819" s="226"/>
    </row>
    <row r="820" ht="22.5" customHeight="1">
      <c r="A820" s="233"/>
      <c r="B820" s="234"/>
      <c r="C820" s="234"/>
      <c r="D820" s="226"/>
      <c r="E820" s="226"/>
    </row>
    <row r="821" ht="22.5" customHeight="1">
      <c r="A821" s="233"/>
      <c r="B821" s="234"/>
      <c r="C821" s="234"/>
      <c r="D821" s="226"/>
      <c r="E821" s="226"/>
    </row>
    <row r="822" ht="22.5" customHeight="1">
      <c r="A822" s="233"/>
      <c r="B822" s="234"/>
      <c r="C822" s="234"/>
      <c r="D822" s="226"/>
      <c r="E822" s="226"/>
    </row>
    <row r="823" ht="22.5" customHeight="1">
      <c r="A823" s="233"/>
      <c r="B823" s="234"/>
      <c r="C823" s="234"/>
      <c r="D823" s="226"/>
      <c r="E823" s="226"/>
    </row>
    <row r="824" ht="22.5" customHeight="1">
      <c r="A824" s="233"/>
      <c r="B824" s="234"/>
      <c r="C824" s="234"/>
      <c r="D824" s="226"/>
      <c r="E824" s="226"/>
    </row>
    <row r="825" ht="22.5" customHeight="1">
      <c r="A825" s="233"/>
      <c r="B825" s="234"/>
      <c r="C825" s="234"/>
      <c r="D825" s="226"/>
      <c r="E825" s="226"/>
    </row>
    <row r="826" ht="22.5" customHeight="1">
      <c r="A826" s="233"/>
      <c r="B826" s="234"/>
      <c r="C826" s="234"/>
      <c r="D826" s="226"/>
      <c r="E826" s="226"/>
    </row>
    <row r="827" ht="22.5" customHeight="1">
      <c r="A827" s="233"/>
      <c r="B827" s="234"/>
      <c r="C827" s="234"/>
      <c r="D827" s="226"/>
      <c r="E827" s="226"/>
    </row>
    <row r="828" ht="22.5" customHeight="1">
      <c r="A828" s="233"/>
      <c r="B828" s="234"/>
      <c r="C828" s="234"/>
      <c r="D828" s="226"/>
      <c r="E828" s="226"/>
    </row>
    <row r="829" ht="22.5" customHeight="1">
      <c r="A829" s="233"/>
      <c r="B829" s="234"/>
      <c r="C829" s="234"/>
      <c r="D829" s="226"/>
      <c r="E829" s="226"/>
    </row>
    <row r="830" ht="22.5" customHeight="1">
      <c r="A830" s="233"/>
      <c r="B830" s="234"/>
      <c r="C830" s="234"/>
      <c r="D830" s="226"/>
      <c r="E830" s="226"/>
    </row>
    <row r="831" ht="22.5" customHeight="1">
      <c r="A831" s="233"/>
      <c r="B831" s="234"/>
      <c r="C831" s="234"/>
      <c r="D831" s="226"/>
      <c r="E831" s="226"/>
    </row>
    <row r="832" ht="22.5" customHeight="1">
      <c r="A832" s="233"/>
      <c r="B832" s="234"/>
      <c r="C832" s="234"/>
      <c r="D832" s="226"/>
      <c r="E832" s="226"/>
    </row>
    <row r="833" ht="22.5" customHeight="1">
      <c r="A833" s="233"/>
      <c r="B833" s="234"/>
      <c r="C833" s="234"/>
      <c r="D833" s="226"/>
      <c r="E833" s="226"/>
    </row>
    <row r="834" ht="22.5" customHeight="1">
      <c r="A834" s="233"/>
      <c r="B834" s="234"/>
      <c r="C834" s="234"/>
      <c r="D834" s="226"/>
      <c r="E834" s="226"/>
    </row>
    <row r="835" ht="22.5" customHeight="1">
      <c r="A835" s="233"/>
      <c r="B835" s="234"/>
      <c r="C835" s="234"/>
      <c r="D835" s="226"/>
      <c r="E835" s="226"/>
    </row>
    <row r="836" ht="22.5" customHeight="1">
      <c r="A836" s="233"/>
      <c r="B836" s="234"/>
      <c r="C836" s="234"/>
      <c r="D836" s="226"/>
      <c r="E836" s="226"/>
    </row>
    <row r="837" ht="22.5" customHeight="1">
      <c r="A837" s="233"/>
      <c r="B837" s="234"/>
      <c r="C837" s="234"/>
      <c r="D837" s="226"/>
      <c r="E837" s="226"/>
    </row>
    <row r="838" ht="22.5" customHeight="1">
      <c r="A838" s="233"/>
      <c r="B838" s="234"/>
      <c r="C838" s="234"/>
      <c r="D838" s="226"/>
      <c r="E838" s="226"/>
    </row>
    <row r="839" ht="22.5" customHeight="1">
      <c r="A839" s="233"/>
      <c r="B839" s="234"/>
      <c r="C839" s="234"/>
      <c r="D839" s="226"/>
      <c r="E839" s="226"/>
    </row>
    <row r="840" ht="22.5" customHeight="1">
      <c r="A840" s="233"/>
      <c r="B840" s="234"/>
      <c r="C840" s="234"/>
      <c r="D840" s="226"/>
      <c r="E840" s="226"/>
    </row>
    <row r="841" ht="22.5" customHeight="1">
      <c r="A841" s="233"/>
      <c r="B841" s="234"/>
      <c r="C841" s="234"/>
      <c r="D841" s="226"/>
      <c r="E841" s="226"/>
    </row>
    <row r="842" ht="22.5" customHeight="1">
      <c r="A842" s="233"/>
      <c r="B842" s="234"/>
      <c r="C842" s="234"/>
      <c r="D842" s="226"/>
      <c r="E842" s="226"/>
    </row>
    <row r="843" ht="22.5" customHeight="1">
      <c r="A843" s="233"/>
      <c r="B843" s="234"/>
      <c r="C843" s="234"/>
      <c r="D843" s="226"/>
      <c r="E843" s="226"/>
    </row>
    <row r="844" ht="22.5" customHeight="1">
      <c r="A844" s="233"/>
      <c r="B844" s="234"/>
      <c r="C844" s="234"/>
      <c r="D844" s="226"/>
      <c r="E844" s="226"/>
    </row>
    <row r="845" ht="22.5" customHeight="1">
      <c r="A845" s="233"/>
      <c r="B845" s="234"/>
      <c r="C845" s="234"/>
      <c r="D845" s="226"/>
      <c r="E845" s="226"/>
    </row>
    <row r="846" ht="22.5" customHeight="1">
      <c r="A846" s="233"/>
      <c r="B846" s="234"/>
      <c r="C846" s="234"/>
      <c r="D846" s="226"/>
      <c r="E846" s="226"/>
    </row>
    <row r="847" ht="22.5" customHeight="1">
      <c r="A847" s="233"/>
      <c r="B847" s="234"/>
      <c r="C847" s="234"/>
      <c r="D847" s="226"/>
      <c r="E847" s="226"/>
    </row>
    <row r="848" ht="22.5" customHeight="1">
      <c r="A848" s="233"/>
      <c r="B848" s="234"/>
      <c r="C848" s="234"/>
      <c r="D848" s="226"/>
      <c r="E848" s="226"/>
    </row>
    <row r="849" ht="22.5" customHeight="1">
      <c r="A849" s="233"/>
      <c r="B849" s="234"/>
      <c r="C849" s="234"/>
      <c r="D849" s="226"/>
      <c r="E849" s="226"/>
    </row>
    <row r="850" ht="22.5" customHeight="1">
      <c r="A850" s="233"/>
      <c r="B850" s="234"/>
      <c r="C850" s="234"/>
      <c r="D850" s="226"/>
      <c r="E850" s="226"/>
    </row>
    <row r="851" ht="22.5" customHeight="1">
      <c r="A851" s="233"/>
      <c r="B851" s="234"/>
      <c r="C851" s="234"/>
      <c r="D851" s="226"/>
      <c r="E851" s="226"/>
    </row>
    <row r="852" ht="22.5" customHeight="1">
      <c r="A852" s="233"/>
      <c r="B852" s="234"/>
      <c r="C852" s="234"/>
      <c r="D852" s="226"/>
      <c r="E852" s="226"/>
    </row>
    <row r="853" ht="22.5" customHeight="1">
      <c r="A853" s="233"/>
      <c r="B853" s="234"/>
      <c r="C853" s="234"/>
      <c r="D853" s="226"/>
      <c r="E853" s="226"/>
    </row>
    <row r="854" ht="22.5" customHeight="1">
      <c r="A854" s="233"/>
      <c r="B854" s="234"/>
      <c r="C854" s="234"/>
      <c r="D854" s="226"/>
      <c r="E854" s="226"/>
    </row>
    <row r="855" ht="22.5" customHeight="1">
      <c r="A855" s="233"/>
      <c r="B855" s="234"/>
      <c r="C855" s="234"/>
      <c r="D855" s="226"/>
      <c r="E855" s="226"/>
    </row>
    <row r="856" ht="22.5" customHeight="1">
      <c r="A856" s="233"/>
      <c r="B856" s="234"/>
      <c r="C856" s="234"/>
      <c r="D856" s="226"/>
      <c r="E856" s="226"/>
    </row>
    <row r="857" ht="22.5" customHeight="1">
      <c r="A857" s="233"/>
      <c r="B857" s="234"/>
      <c r="C857" s="234"/>
      <c r="D857" s="226"/>
      <c r="E857" s="226"/>
    </row>
    <row r="858" ht="22.5" customHeight="1">
      <c r="A858" s="233"/>
      <c r="B858" s="234"/>
      <c r="C858" s="234"/>
      <c r="D858" s="226"/>
      <c r="E858" s="226"/>
    </row>
    <row r="859" ht="22.5" customHeight="1">
      <c r="A859" s="233"/>
      <c r="B859" s="234"/>
      <c r="C859" s="234"/>
      <c r="D859" s="226"/>
      <c r="E859" s="226"/>
    </row>
    <row r="860" ht="22.5" customHeight="1">
      <c r="A860" s="233"/>
      <c r="B860" s="234"/>
      <c r="C860" s="234"/>
      <c r="D860" s="226"/>
      <c r="E860" s="226"/>
    </row>
    <row r="861" ht="22.5" customHeight="1">
      <c r="A861" s="233"/>
      <c r="B861" s="234"/>
      <c r="C861" s="234"/>
      <c r="D861" s="226"/>
      <c r="E861" s="226"/>
    </row>
    <row r="862" ht="22.5" customHeight="1">
      <c r="A862" s="233"/>
      <c r="B862" s="234"/>
      <c r="C862" s="234"/>
      <c r="D862" s="226"/>
      <c r="E862" s="226"/>
    </row>
    <row r="863" ht="22.5" customHeight="1">
      <c r="A863" s="233"/>
      <c r="B863" s="234"/>
      <c r="C863" s="234"/>
      <c r="D863" s="226"/>
      <c r="E863" s="226"/>
    </row>
    <row r="864" ht="22.5" customHeight="1">
      <c r="A864" s="233"/>
      <c r="B864" s="234"/>
      <c r="C864" s="234"/>
      <c r="D864" s="226"/>
      <c r="E864" s="226"/>
    </row>
    <row r="865" ht="22.5" customHeight="1">
      <c r="A865" s="233"/>
      <c r="B865" s="234"/>
      <c r="C865" s="234"/>
      <c r="D865" s="226"/>
      <c r="E865" s="226"/>
    </row>
    <row r="866" ht="22.5" customHeight="1">
      <c r="A866" s="233"/>
      <c r="B866" s="234"/>
      <c r="C866" s="234"/>
      <c r="D866" s="226"/>
      <c r="E866" s="226"/>
    </row>
    <row r="867" ht="22.5" customHeight="1">
      <c r="A867" s="233"/>
      <c r="B867" s="234"/>
      <c r="C867" s="234"/>
      <c r="D867" s="226"/>
      <c r="E867" s="226"/>
    </row>
    <row r="868" ht="22.5" customHeight="1">
      <c r="A868" s="233"/>
      <c r="B868" s="234"/>
      <c r="C868" s="234"/>
      <c r="D868" s="226"/>
      <c r="E868" s="226"/>
    </row>
    <row r="869" ht="22.5" customHeight="1">
      <c r="A869" s="233"/>
      <c r="B869" s="234"/>
      <c r="C869" s="234"/>
      <c r="D869" s="226"/>
      <c r="E869" s="226"/>
    </row>
    <row r="870" ht="22.5" customHeight="1">
      <c r="A870" s="233"/>
      <c r="B870" s="234"/>
      <c r="C870" s="234"/>
      <c r="D870" s="226"/>
      <c r="E870" s="226"/>
    </row>
    <row r="871" ht="22.5" customHeight="1">
      <c r="A871" s="233"/>
      <c r="B871" s="234"/>
      <c r="C871" s="234"/>
      <c r="D871" s="226"/>
      <c r="E871" s="226"/>
    </row>
    <row r="872" ht="22.5" customHeight="1">
      <c r="A872" s="233"/>
      <c r="B872" s="234"/>
      <c r="C872" s="234"/>
      <c r="D872" s="226"/>
      <c r="E872" s="226"/>
    </row>
    <row r="873" ht="22.5" customHeight="1">
      <c r="A873" s="233"/>
      <c r="B873" s="234"/>
      <c r="C873" s="234"/>
      <c r="D873" s="226"/>
      <c r="E873" s="226"/>
    </row>
    <row r="874" ht="22.5" customHeight="1">
      <c r="A874" s="233"/>
      <c r="B874" s="234"/>
      <c r="C874" s="234"/>
      <c r="D874" s="226"/>
      <c r="E874" s="226"/>
    </row>
    <row r="875" ht="22.5" customHeight="1">
      <c r="A875" s="233"/>
      <c r="B875" s="234"/>
      <c r="C875" s="234"/>
      <c r="D875" s="226"/>
      <c r="E875" s="226"/>
    </row>
    <row r="876" ht="22.5" customHeight="1">
      <c r="A876" s="233"/>
      <c r="B876" s="234"/>
      <c r="C876" s="234"/>
      <c r="D876" s="226"/>
      <c r="E876" s="226"/>
    </row>
    <row r="877" ht="22.5" customHeight="1">
      <c r="A877" s="233"/>
      <c r="B877" s="234"/>
      <c r="C877" s="234"/>
      <c r="D877" s="226"/>
      <c r="E877" s="226"/>
    </row>
    <row r="878" ht="22.5" customHeight="1">
      <c r="A878" s="233"/>
      <c r="B878" s="234"/>
      <c r="C878" s="234"/>
      <c r="D878" s="226"/>
      <c r="E878" s="226"/>
    </row>
    <row r="879" ht="22.5" customHeight="1">
      <c r="A879" s="233"/>
      <c r="B879" s="234"/>
      <c r="C879" s="234"/>
      <c r="D879" s="226"/>
      <c r="E879" s="226"/>
    </row>
    <row r="880" ht="22.5" customHeight="1">
      <c r="A880" s="233"/>
      <c r="B880" s="234"/>
      <c r="C880" s="234"/>
      <c r="D880" s="226"/>
      <c r="E880" s="226"/>
    </row>
    <row r="881" ht="22.5" customHeight="1">
      <c r="A881" s="233"/>
      <c r="B881" s="234"/>
      <c r="C881" s="234"/>
      <c r="D881" s="226"/>
      <c r="E881" s="226"/>
    </row>
    <row r="882" ht="22.5" customHeight="1">
      <c r="A882" s="233"/>
      <c r="B882" s="234"/>
      <c r="C882" s="234"/>
      <c r="D882" s="226"/>
      <c r="E882" s="226"/>
    </row>
    <row r="883" ht="22.5" customHeight="1">
      <c r="A883" s="233"/>
      <c r="B883" s="234"/>
      <c r="C883" s="234"/>
      <c r="D883" s="226"/>
      <c r="E883" s="226"/>
    </row>
    <row r="884" ht="22.5" customHeight="1">
      <c r="A884" s="233"/>
      <c r="B884" s="234"/>
      <c r="C884" s="234"/>
      <c r="D884" s="226"/>
      <c r="E884" s="226"/>
    </row>
    <row r="885" ht="22.5" customHeight="1">
      <c r="A885" s="233"/>
      <c r="B885" s="234"/>
      <c r="C885" s="234"/>
      <c r="D885" s="226"/>
      <c r="E885" s="226"/>
    </row>
    <row r="886" ht="22.5" customHeight="1">
      <c r="A886" s="233"/>
      <c r="B886" s="234"/>
      <c r="C886" s="234"/>
      <c r="D886" s="226"/>
      <c r="E886" s="226"/>
    </row>
    <row r="887" ht="22.5" customHeight="1">
      <c r="A887" s="233"/>
      <c r="B887" s="234"/>
      <c r="C887" s="234"/>
      <c r="D887" s="226"/>
      <c r="E887" s="226"/>
    </row>
    <row r="888" ht="22.5" customHeight="1">
      <c r="A888" s="233"/>
      <c r="B888" s="234"/>
      <c r="C888" s="234"/>
      <c r="D888" s="226"/>
      <c r="E888" s="226"/>
    </row>
    <row r="889" ht="22.5" customHeight="1">
      <c r="A889" s="233"/>
      <c r="B889" s="234"/>
      <c r="C889" s="234"/>
      <c r="D889" s="226"/>
      <c r="E889" s="226"/>
    </row>
    <row r="890" ht="22.5" customHeight="1">
      <c r="A890" s="233"/>
      <c r="B890" s="234"/>
      <c r="C890" s="234"/>
      <c r="D890" s="226"/>
      <c r="E890" s="226"/>
    </row>
    <row r="891" ht="22.5" customHeight="1">
      <c r="A891" s="233"/>
      <c r="B891" s="234"/>
      <c r="C891" s="234"/>
      <c r="D891" s="226"/>
      <c r="E891" s="226"/>
    </row>
    <row r="892" ht="22.5" customHeight="1">
      <c r="A892" s="233"/>
      <c r="B892" s="234"/>
      <c r="C892" s="234"/>
      <c r="D892" s="226"/>
      <c r="E892" s="226"/>
    </row>
    <row r="893" ht="22.5" customHeight="1">
      <c r="A893" s="233"/>
      <c r="B893" s="234"/>
      <c r="C893" s="234"/>
      <c r="D893" s="226"/>
      <c r="E893" s="226"/>
    </row>
    <row r="894" ht="22.5" customHeight="1">
      <c r="A894" s="233"/>
      <c r="B894" s="234"/>
      <c r="C894" s="234"/>
      <c r="D894" s="226"/>
      <c r="E894" s="226"/>
    </row>
    <row r="895" ht="22.5" customHeight="1">
      <c r="A895" s="233"/>
      <c r="B895" s="234"/>
      <c r="C895" s="234"/>
      <c r="D895" s="226"/>
      <c r="E895" s="226"/>
    </row>
    <row r="896" ht="22.5" customHeight="1">
      <c r="A896" s="233"/>
      <c r="B896" s="234"/>
      <c r="C896" s="234"/>
      <c r="D896" s="226"/>
      <c r="E896" s="226"/>
    </row>
    <row r="897" ht="22.5" customHeight="1">
      <c r="A897" s="233"/>
      <c r="B897" s="234"/>
      <c r="C897" s="234"/>
      <c r="D897" s="226"/>
      <c r="E897" s="226"/>
    </row>
    <row r="898" ht="22.5" customHeight="1">
      <c r="A898" s="233"/>
      <c r="B898" s="234"/>
      <c r="C898" s="234"/>
      <c r="D898" s="226"/>
      <c r="E898" s="226"/>
    </row>
    <row r="899" ht="22.5" customHeight="1">
      <c r="A899" s="233"/>
      <c r="B899" s="234"/>
      <c r="C899" s="234"/>
      <c r="D899" s="226"/>
      <c r="E899" s="226"/>
    </row>
    <row r="900" ht="22.5" customHeight="1">
      <c r="A900" s="233"/>
      <c r="B900" s="234"/>
      <c r="C900" s="234"/>
      <c r="D900" s="226"/>
      <c r="E900" s="226"/>
    </row>
    <row r="901" ht="22.5" customHeight="1">
      <c r="A901" s="233"/>
      <c r="B901" s="234"/>
      <c r="C901" s="234"/>
      <c r="D901" s="226"/>
      <c r="E901" s="226"/>
    </row>
    <row r="902" ht="22.5" customHeight="1">
      <c r="A902" s="233"/>
      <c r="B902" s="234"/>
      <c r="C902" s="234"/>
      <c r="D902" s="226"/>
      <c r="E902" s="226"/>
    </row>
    <row r="903" ht="22.5" customHeight="1">
      <c r="A903" s="233"/>
      <c r="B903" s="234"/>
      <c r="C903" s="234"/>
      <c r="D903" s="226"/>
      <c r="E903" s="226"/>
    </row>
    <row r="904" ht="22.5" customHeight="1">
      <c r="A904" s="233"/>
      <c r="B904" s="234"/>
      <c r="C904" s="234"/>
      <c r="D904" s="226"/>
      <c r="E904" s="226"/>
    </row>
    <row r="905" ht="22.5" customHeight="1">
      <c r="A905" s="233"/>
      <c r="B905" s="234"/>
      <c r="C905" s="234"/>
      <c r="D905" s="226"/>
      <c r="E905" s="226"/>
    </row>
    <row r="906" ht="22.5" customHeight="1">
      <c r="A906" s="233"/>
      <c r="B906" s="234"/>
      <c r="C906" s="234"/>
      <c r="D906" s="226"/>
      <c r="E906" s="226"/>
    </row>
    <row r="907" ht="22.5" customHeight="1">
      <c r="A907" s="233"/>
      <c r="B907" s="234"/>
      <c r="C907" s="234"/>
      <c r="D907" s="226"/>
      <c r="E907" s="226"/>
    </row>
    <row r="908" ht="22.5" customHeight="1">
      <c r="A908" s="233"/>
      <c r="B908" s="234"/>
      <c r="C908" s="234"/>
      <c r="D908" s="226"/>
      <c r="E908" s="226"/>
    </row>
    <row r="909" ht="22.5" customHeight="1">
      <c r="A909" s="233"/>
      <c r="B909" s="234"/>
      <c r="C909" s="234"/>
      <c r="D909" s="226"/>
      <c r="E909" s="226"/>
    </row>
    <row r="910" ht="22.5" customHeight="1">
      <c r="A910" s="233"/>
      <c r="B910" s="234"/>
      <c r="C910" s="234"/>
      <c r="D910" s="226"/>
      <c r="E910" s="226"/>
    </row>
    <row r="911" ht="22.5" customHeight="1">
      <c r="A911" s="233"/>
      <c r="B911" s="234"/>
      <c r="C911" s="234"/>
      <c r="D911" s="226"/>
      <c r="E911" s="226"/>
    </row>
    <row r="912" ht="22.5" customHeight="1">
      <c r="A912" s="233"/>
      <c r="B912" s="234"/>
      <c r="C912" s="234"/>
      <c r="D912" s="226"/>
      <c r="E912" s="226"/>
    </row>
    <row r="913" ht="22.5" customHeight="1">
      <c r="A913" s="233"/>
      <c r="B913" s="234"/>
      <c r="C913" s="234"/>
      <c r="D913" s="226"/>
      <c r="E913" s="226"/>
    </row>
    <row r="914" ht="22.5" customHeight="1">
      <c r="A914" s="233"/>
      <c r="B914" s="234"/>
      <c r="C914" s="234"/>
      <c r="D914" s="226"/>
      <c r="E914" s="226"/>
    </row>
    <row r="915" ht="22.5" customHeight="1">
      <c r="A915" s="233"/>
      <c r="B915" s="234"/>
      <c r="C915" s="234"/>
      <c r="D915" s="226"/>
      <c r="E915" s="226"/>
    </row>
    <row r="916" ht="22.5" customHeight="1">
      <c r="A916" s="233"/>
      <c r="B916" s="234"/>
      <c r="C916" s="234"/>
      <c r="D916" s="226"/>
      <c r="E916" s="226"/>
    </row>
    <row r="917" ht="22.5" customHeight="1">
      <c r="A917" s="233"/>
      <c r="B917" s="234"/>
      <c r="C917" s="234"/>
      <c r="D917" s="226"/>
      <c r="E917" s="226"/>
    </row>
    <row r="918" ht="22.5" customHeight="1">
      <c r="A918" s="233"/>
      <c r="B918" s="234"/>
      <c r="C918" s="234"/>
      <c r="D918" s="226"/>
      <c r="E918" s="226"/>
    </row>
    <row r="919" ht="22.5" customHeight="1">
      <c r="A919" s="233"/>
      <c r="B919" s="234"/>
      <c r="C919" s="234"/>
      <c r="D919" s="226"/>
      <c r="E919" s="226"/>
    </row>
    <row r="920" ht="22.5" customHeight="1">
      <c r="A920" s="233"/>
      <c r="B920" s="234"/>
      <c r="C920" s="234"/>
      <c r="D920" s="226"/>
      <c r="E920" s="226"/>
    </row>
    <row r="921" ht="22.5" customHeight="1">
      <c r="A921" s="233"/>
      <c r="B921" s="234"/>
      <c r="C921" s="234"/>
      <c r="D921" s="226"/>
      <c r="E921" s="226"/>
    </row>
    <row r="922" ht="22.5" customHeight="1">
      <c r="A922" s="233"/>
      <c r="B922" s="234"/>
      <c r="C922" s="234"/>
      <c r="D922" s="226"/>
      <c r="E922" s="226"/>
    </row>
    <row r="923" ht="22.5" customHeight="1">
      <c r="A923" s="233"/>
      <c r="B923" s="234"/>
      <c r="C923" s="234"/>
      <c r="D923" s="226"/>
      <c r="E923" s="226"/>
    </row>
    <row r="924" ht="22.5" customHeight="1">
      <c r="A924" s="233"/>
      <c r="B924" s="234"/>
      <c r="C924" s="234"/>
      <c r="D924" s="226"/>
      <c r="E924" s="226"/>
    </row>
    <row r="925" ht="22.5" customHeight="1">
      <c r="A925" s="233"/>
      <c r="B925" s="234"/>
      <c r="C925" s="234"/>
      <c r="D925" s="226"/>
      <c r="E925" s="226"/>
    </row>
    <row r="926" ht="22.5" customHeight="1">
      <c r="A926" s="233"/>
      <c r="B926" s="234"/>
      <c r="C926" s="234"/>
      <c r="D926" s="226"/>
      <c r="E926" s="226"/>
    </row>
    <row r="927" ht="22.5" customHeight="1">
      <c r="A927" s="233"/>
      <c r="B927" s="234"/>
      <c r="C927" s="234"/>
      <c r="D927" s="226"/>
      <c r="E927" s="226"/>
    </row>
    <row r="928" ht="22.5" customHeight="1">
      <c r="A928" s="233"/>
      <c r="B928" s="234"/>
      <c r="C928" s="234"/>
      <c r="D928" s="226"/>
      <c r="E928" s="226"/>
    </row>
    <row r="929" ht="22.5" customHeight="1">
      <c r="A929" s="233"/>
      <c r="B929" s="234"/>
      <c r="C929" s="234"/>
      <c r="D929" s="226"/>
      <c r="E929" s="226"/>
    </row>
    <row r="930" ht="22.5" customHeight="1">
      <c r="A930" s="233"/>
      <c r="B930" s="234"/>
      <c r="C930" s="234"/>
      <c r="D930" s="226"/>
      <c r="E930" s="226"/>
    </row>
    <row r="931" ht="22.5" customHeight="1">
      <c r="A931" s="233"/>
      <c r="B931" s="234"/>
      <c r="C931" s="234"/>
      <c r="D931" s="226"/>
      <c r="E931" s="226"/>
    </row>
    <row r="932" ht="22.5" customHeight="1">
      <c r="A932" s="233"/>
      <c r="B932" s="234"/>
      <c r="C932" s="234"/>
      <c r="D932" s="226"/>
      <c r="E932" s="226"/>
    </row>
    <row r="933" ht="22.5" customHeight="1">
      <c r="A933" s="233"/>
      <c r="B933" s="234"/>
      <c r="C933" s="234"/>
      <c r="D933" s="226"/>
      <c r="E933" s="226"/>
    </row>
    <row r="934" ht="22.5" customHeight="1">
      <c r="A934" s="233"/>
      <c r="B934" s="234"/>
      <c r="C934" s="234"/>
      <c r="D934" s="226"/>
      <c r="E934" s="226"/>
    </row>
    <row r="935" ht="22.5" customHeight="1">
      <c r="A935" s="233"/>
      <c r="B935" s="234"/>
      <c r="C935" s="234"/>
      <c r="D935" s="226"/>
      <c r="E935" s="226"/>
    </row>
    <row r="936" ht="22.5" customHeight="1">
      <c r="A936" s="233"/>
      <c r="B936" s="234"/>
      <c r="C936" s="234"/>
      <c r="D936" s="226"/>
      <c r="E936" s="226"/>
    </row>
    <row r="937" ht="22.5" customHeight="1">
      <c r="A937" s="233"/>
      <c r="B937" s="234"/>
      <c r="C937" s="234"/>
      <c r="D937" s="226"/>
      <c r="E937" s="226"/>
    </row>
    <row r="938" ht="22.5" customHeight="1">
      <c r="A938" s="233"/>
      <c r="B938" s="234"/>
      <c r="C938" s="234"/>
      <c r="D938" s="226"/>
      <c r="E938" s="226"/>
    </row>
    <row r="939" ht="22.5" customHeight="1">
      <c r="A939" s="233"/>
      <c r="B939" s="234"/>
      <c r="C939" s="234"/>
      <c r="D939" s="226"/>
      <c r="E939" s="226"/>
    </row>
    <row r="940" ht="22.5" customHeight="1">
      <c r="A940" s="233"/>
      <c r="B940" s="234"/>
      <c r="C940" s="234"/>
      <c r="D940" s="226"/>
      <c r="E940" s="226"/>
    </row>
    <row r="941" ht="22.5" customHeight="1">
      <c r="A941" s="233"/>
      <c r="B941" s="234"/>
      <c r="C941" s="234"/>
      <c r="D941" s="226"/>
      <c r="E941" s="226"/>
    </row>
    <row r="942" ht="22.5" customHeight="1">
      <c r="A942" s="233"/>
      <c r="B942" s="234"/>
      <c r="C942" s="234"/>
      <c r="D942" s="226"/>
      <c r="E942" s="226"/>
    </row>
    <row r="943" ht="22.5" customHeight="1">
      <c r="A943" s="233"/>
      <c r="B943" s="234"/>
      <c r="C943" s="234"/>
      <c r="D943" s="226"/>
      <c r="E943" s="226"/>
    </row>
    <row r="944" ht="22.5" customHeight="1">
      <c r="A944" s="233"/>
      <c r="B944" s="234"/>
      <c r="C944" s="234"/>
      <c r="D944" s="226"/>
      <c r="E944" s="226"/>
    </row>
    <row r="945" ht="22.5" customHeight="1">
      <c r="A945" s="233"/>
      <c r="B945" s="234"/>
      <c r="C945" s="234"/>
      <c r="D945" s="226"/>
      <c r="E945" s="226"/>
    </row>
    <row r="946" ht="22.5" customHeight="1">
      <c r="A946" s="233"/>
      <c r="B946" s="234"/>
      <c r="C946" s="234"/>
      <c r="D946" s="226"/>
      <c r="E946" s="226"/>
    </row>
    <row r="947" ht="22.5" customHeight="1">
      <c r="A947" s="233"/>
      <c r="B947" s="234"/>
      <c r="C947" s="234"/>
      <c r="D947" s="226"/>
      <c r="E947" s="226"/>
    </row>
    <row r="948" ht="22.5" customHeight="1">
      <c r="A948" s="233"/>
      <c r="B948" s="234"/>
      <c r="C948" s="234"/>
      <c r="D948" s="226"/>
      <c r="E948" s="226"/>
    </row>
    <row r="949" ht="22.5" customHeight="1">
      <c r="A949" s="233"/>
      <c r="B949" s="234"/>
      <c r="C949" s="234"/>
      <c r="D949" s="226"/>
      <c r="E949" s="226"/>
    </row>
    <row r="950" ht="22.5" customHeight="1">
      <c r="A950" s="233"/>
      <c r="B950" s="234"/>
      <c r="C950" s="234"/>
      <c r="D950" s="226"/>
      <c r="E950" s="226"/>
    </row>
    <row r="951" ht="22.5" customHeight="1">
      <c r="A951" s="233"/>
      <c r="B951" s="234"/>
      <c r="C951" s="234"/>
      <c r="D951" s="226"/>
      <c r="E951" s="226"/>
    </row>
    <row r="952" ht="22.5" customHeight="1">
      <c r="A952" s="233"/>
      <c r="B952" s="234"/>
      <c r="C952" s="234"/>
      <c r="D952" s="226"/>
      <c r="E952" s="226"/>
    </row>
    <row r="953" ht="22.5" customHeight="1">
      <c r="A953" s="233"/>
      <c r="B953" s="234"/>
      <c r="C953" s="234"/>
      <c r="D953" s="226"/>
      <c r="E953" s="226"/>
    </row>
    <row r="954" ht="22.5" customHeight="1">
      <c r="A954" s="233"/>
      <c r="B954" s="234"/>
      <c r="C954" s="234"/>
      <c r="D954" s="226"/>
      <c r="E954" s="226"/>
    </row>
    <row r="955" ht="22.5" customHeight="1">
      <c r="A955" s="233"/>
      <c r="B955" s="234"/>
      <c r="C955" s="234"/>
      <c r="D955" s="226"/>
      <c r="E955" s="226"/>
    </row>
    <row r="956" ht="22.5" customHeight="1">
      <c r="A956" s="233"/>
      <c r="B956" s="234"/>
      <c r="C956" s="234"/>
      <c r="D956" s="226"/>
      <c r="E956" s="226"/>
    </row>
    <row r="957" ht="22.5" customHeight="1">
      <c r="A957" s="233"/>
      <c r="B957" s="234"/>
      <c r="C957" s="234"/>
      <c r="D957" s="226"/>
      <c r="E957" s="226"/>
    </row>
    <row r="958" ht="22.5" customHeight="1">
      <c r="A958" s="233"/>
      <c r="B958" s="234"/>
      <c r="C958" s="234"/>
      <c r="D958" s="226"/>
      <c r="E958" s="226"/>
    </row>
    <row r="959" ht="22.5" customHeight="1">
      <c r="A959" s="233"/>
      <c r="B959" s="234"/>
      <c r="C959" s="234"/>
      <c r="D959" s="226"/>
      <c r="E959" s="226"/>
    </row>
    <row r="960" ht="22.5" customHeight="1">
      <c r="A960" s="233"/>
      <c r="B960" s="234"/>
      <c r="C960" s="234"/>
      <c r="D960" s="226"/>
      <c r="E960" s="226"/>
    </row>
    <row r="961" ht="22.5" customHeight="1">
      <c r="A961" s="233"/>
      <c r="B961" s="234"/>
      <c r="C961" s="234"/>
      <c r="D961" s="226"/>
      <c r="E961" s="226"/>
    </row>
    <row r="962" ht="22.5" customHeight="1">
      <c r="A962" s="233"/>
      <c r="B962" s="234"/>
      <c r="C962" s="234"/>
      <c r="D962" s="226"/>
      <c r="E962" s="226"/>
    </row>
    <row r="963" ht="22.5" customHeight="1">
      <c r="A963" s="233"/>
      <c r="B963" s="234"/>
      <c r="C963" s="234"/>
      <c r="D963" s="226"/>
      <c r="E963" s="226"/>
    </row>
    <row r="964" ht="22.5" customHeight="1">
      <c r="A964" s="233"/>
      <c r="B964" s="234"/>
      <c r="C964" s="234"/>
      <c r="D964" s="226"/>
      <c r="E964" s="226"/>
    </row>
    <row r="965" ht="22.5" customHeight="1">
      <c r="A965" s="233"/>
      <c r="B965" s="234"/>
      <c r="C965" s="234"/>
      <c r="D965" s="226"/>
      <c r="E965" s="226"/>
    </row>
    <row r="966" ht="22.5" customHeight="1">
      <c r="A966" s="233"/>
      <c r="B966" s="234"/>
      <c r="C966" s="234"/>
      <c r="D966" s="226"/>
      <c r="E966" s="226"/>
    </row>
    <row r="967" ht="22.5" customHeight="1">
      <c r="A967" s="233"/>
      <c r="B967" s="234"/>
      <c r="C967" s="234"/>
      <c r="D967" s="226"/>
      <c r="E967" s="226"/>
    </row>
    <row r="968" ht="22.5" customHeight="1">
      <c r="A968" s="233"/>
      <c r="B968" s="234"/>
      <c r="C968" s="234"/>
      <c r="D968" s="226"/>
      <c r="E968" s="226"/>
    </row>
    <row r="969" ht="22.5" customHeight="1">
      <c r="A969" s="233"/>
      <c r="B969" s="234"/>
      <c r="C969" s="234"/>
      <c r="D969" s="226"/>
      <c r="E969" s="226"/>
    </row>
    <row r="970" ht="22.5" customHeight="1">
      <c r="A970" s="233"/>
      <c r="B970" s="234"/>
      <c r="C970" s="234"/>
      <c r="D970" s="226"/>
      <c r="E970" s="226"/>
    </row>
    <row r="971" ht="22.5" customHeight="1">
      <c r="A971" s="233"/>
      <c r="B971" s="234"/>
      <c r="C971" s="234"/>
      <c r="D971" s="226"/>
      <c r="E971" s="226"/>
    </row>
    <row r="972" ht="22.5" customHeight="1">
      <c r="A972" s="233"/>
      <c r="B972" s="234"/>
      <c r="C972" s="234"/>
      <c r="D972" s="226"/>
      <c r="E972" s="226"/>
    </row>
    <row r="973" ht="22.5" customHeight="1">
      <c r="A973" s="233"/>
      <c r="B973" s="234"/>
      <c r="C973" s="234"/>
      <c r="D973" s="226"/>
      <c r="E973" s="226"/>
    </row>
    <row r="974" ht="22.5" customHeight="1">
      <c r="A974" s="233"/>
      <c r="B974" s="234"/>
      <c r="C974" s="234"/>
      <c r="D974" s="226"/>
      <c r="E974" s="226"/>
    </row>
    <row r="975" ht="22.5" customHeight="1">
      <c r="A975" s="233"/>
      <c r="B975" s="234"/>
      <c r="C975" s="234"/>
      <c r="D975" s="226"/>
      <c r="E975" s="226"/>
    </row>
    <row r="976" ht="22.5" customHeight="1">
      <c r="A976" s="233"/>
      <c r="B976" s="234"/>
      <c r="C976" s="234"/>
      <c r="D976" s="226"/>
      <c r="E976" s="226"/>
    </row>
    <row r="977" ht="22.5" customHeight="1">
      <c r="A977" s="233"/>
      <c r="B977" s="234"/>
      <c r="C977" s="234"/>
      <c r="D977" s="226"/>
      <c r="E977" s="226"/>
    </row>
    <row r="978" ht="22.5" customHeight="1">
      <c r="A978" s="233"/>
      <c r="B978" s="234"/>
      <c r="C978" s="234"/>
      <c r="D978" s="226"/>
      <c r="E978" s="226"/>
    </row>
    <row r="979" ht="22.5" customHeight="1">
      <c r="A979" s="233"/>
      <c r="B979" s="234"/>
      <c r="C979" s="234"/>
      <c r="D979" s="226"/>
      <c r="E979" s="226"/>
    </row>
    <row r="980" ht="22.5" customHeight="1">
      <c r="A980" s="233"/>
      <c r="B980" s="234"/>
      <c r="C980" s="234"/>
      <c r="D980" s="226"/>
      <c r="E980" s="226"/>
    </row>
    <row r="981" ht="22.5" customHeight="1">
      <c r="A981" s="233"/>
      <c r="B981" s="234"/>
      <c r="C981" s="234"/>
      <c r="D981" s="226"/>
      <c r="E981" s="226"/>
    </row>
    <row r="982" ht="22.5" customHeight="1">
      <c r="A982" s="233"/>
      <c r="B982" s="234"/>
      <c r="C982" s="234"/>
      <c r="D982" s="226"/>
      <c r="E982" s="226"/>
    </row>
    <row r="983" ht="22.5" customHeight="1">
      <c r="A983" s="233"/>
      <c r="B983" s="234"/>
      <c r="C983" s="234"/>
      <c r="D983" s="226"/>
      <c r="E983" s="226"/>
    </row>
    <row r="984" ht="22.5" customHeight="1">
      <c r="A984" s="233"/>
      <c r="B984" s="234"/>
      <c r="C984" s="234"/>
      <c r="D984" s="226"/>
      <c r="E984" s="226"/>
    </row>
    <row r="985" ht="22.5" customHeight="1">
      <c r="A985" s="233"/>
      <c r="B985" s="234"/>
      <c r="C985" s="234"/>
      <c r="D985" s="226"/>
      <c r="E985" s="226"/>
    </row>
    <row r="986" ht="22.5" customHeight="1">
      <c r="A986" s="233"/>
      <c r="B986" s="234"/>
      <c r="C986" s="234"/>
      <c r="D986" s="226"/>
      <c r="E986" s="226"/>
    </row>
    <row r="987" ht="22.5" customHeight="1">
      <c r="A987" s="233"/>
      <c r="B987" s="234"/>
      <c r="C987" s="234"/>
      <c r="D987" s="226"/>
      <c r="E987" s="226"/>
    </row>
    <row r="988" ht="22.5" customHeight="1">
      <c r="A988" s="233"/>
      <c r="B988" s="234"/>
      <c r="C988" s="234"/>
      <c r="D988" s="226"/>
      <c r="E988" s="226"/>
    </row>
    <row r="989" ht="22.5" customHeight="1">
      <c r="A989" s="233"/>
      <c r="B989" s="234"/>
      <c r="C989" s="234"/>
      <c r="D989" s="226"/>
      <c r="E989" s="226"/>
    </row>
    <row r="990" ht="22.5" customHeight="1">
      <c r="A990" s="233"/>
      <c r="B990" s="234"/>
      <c r="C990" s="234"/>
      <c r="D990" s="226"/>
      <c r="E990" s="226"/>
    </row>
    <row r="991" ht="22.5" customHeight="1">
      <c r="A991" s="233"/>
      <c r="B991" s="234"/>
      <c r="C991" s="234"/>
      <c r="D991" s="226"/>
      <c r="E991" s="226"/>
    </row>
    <row r="992" ht="22.5" customHeight="1">
      <c r="A992" s="233"/>
      <c r="B992" s="234"/>
      <c r="C992" s="234"/>
      <c r="D992" s="226"/>
      <c r="E992" s="226"/>
    </row>
    <row r="993" ht="22.5" customHeight="1">
      <c r="A993" s="233"/>
      <c r="B993" s="234"/>
      <c r="C993" s="234"/>
      <c r="D993" s="226"/>
      <c r="E993" s="226"/>
    </row>
    <row r="994" ht="22.5" customHeight="1">
      <c r="A994" s="233"/>
      <c r="B994" s="234"/>
      <c r="C994" s="234"/>
      <c r="D994" s="226"/>
      <c r="E994" s="226"/>
    </row>
    <row r="995" ht="22.5" customHeight="1">
      <c r="A995" s="233"/>
      <c r="B995" s="234"/>
      <c r="C995" s="234"/>
      <c r="D995" s="226"/>
      <c r="E995" s="226"/>
    </row>
    <row r="996" ht="22.5" customHeight="1">
      <c r="A996" s="233"/>
      <c r="B996" s="234"/>
      <c r="C996" s="234"/>
      <c r="D996" s="226"/>
      <c r="E996" s="226"/>
    </row>
    <row r="997" ht="22.5" customHeight="1">
      <c r="A997" s="233"/>
      <c r="B997" s="234"/>
      <c r="C997" s="234"/>
      <c r="D997" s="226"/>
      <c r="E997" s="226"/>
    </row>
    <row r="998" ht="22.5" customHeight="1">
      <c r="A998" s="233"/>
      <c r="B998" s="234"/>
      <c r="C998" s="234"/>
      <c r="D998" s="226"/>
      <c r="E998" s="226"/>
    </row>
    <row r="999" ht="22.5" customHeight="1">
      <c r="A999" s="233"/>
      <c r="B999" s="234"/>
      <c r="C999" s="234"/>
      <c r="D999" s="226"/>
      <c r="E999" s="226"/>
    </row>
    <row r="1000" ht="22.5" customHeight="1">
      <c r="A1000" s="233"/>
      <c r="B1000" s="234"/>
      <c r="C1000" s="234"/>
      <c r="D1000" s="226"/>
      <c r="E1000" s="226"/>
    </row>
    <row r="1001" ht="22.5" customHeight="1">
      <c r="A1001" s="233"/>
      <c r="B1001" s="234"/>
      <c r="C1001" s="234"/>
      <c r="D1001" s="226"/>
      <c r="E1001" s="226"/>
    </row>
    <row r="1002" ht="22.5" customHeight="1">
      <c r="A1002" s="233"/>
      <c r="B1002" s="234"/>
      <c r="C1002" s="234"/>
      <c r="D1002" s="226"/>
      <c r="E1002" s="226"/>
    </row>
    <row r="1003" ht="22.5" customHeight="1">
      <c r="A1003" s="233"/>
      <c r="B1003" s="234"/>
      <c r="C1003" s="234"/>
      <c r="D1003" s="226"/>
      <c r="E1003" s="226"/>
    </row>
    <row r="1004" ht="22.5" customHeight="1">
      <c r="A1004" s="233"/>
      <c r="B1004" s="234"/>
      <c r="C1004" s="234"/>
      <c r="D1004" s="226"/>
      <c r="E1004" s="226"/>
    </row>
    <row r="1005" ht="22.5" customHeight="1">
      <c r="A1005" s="233"/>
      <c r="B1005" s="234"/>
      <c r="C1005" s="234"/>
      <c r="D1005" s="226"/>
      <c r="E1005" s="226"/>
    </row>
    <row r="1006" ht="22.5" customHeight="1">
      <c r="A1006" s="233"/>
      <c r="B1006" s="234"/>
      <c r="C1006" s="234"/>
      <c r="D1006" s="226"/>
      <c r="E1006" s="226"/>
    </row>
    <row r="1007" ht="22.5" customHeight="1">
      <c r="A1007" s="233"/>
      <c r="B1007" s="234"/>
      <c r="C1007" s="234"/>
      <c r="D1007" s="226"/>
      <c r="E1007" s="226"/>
    </row>
    <row r="1008" ht="22.5" customHeight="1">
      <c r="A1008" s="233"/>
      <c r="B1008" s="234"/>
      <c r="C1008" s="234"/>
      <c r="D1008" s="226"/>
      <c r="E1008" s="226"/>
    </row>
    <row r="1009" ht="22.5" customHeight="1">
      <c r="A1009" s="233"/>
      <c r="B1009" s="234"/>
      <c r="C1009" s="234"/>
      <c r="D1009" s="226"/>
      <c r="E1009" s="226"/>
    </row>
    <row r="1010" ht="22.5" customHeight="1">
      <c r="A1010" s="233"/>
      <c r="B1010" s="234"/>
      <c r="C1010" s="234"/>
      <c r="D1010" s="226"/>
      <c r="E1010" s="226"/>
    </row>
    <row r="1011" ht="22.5" customHeight="1">
      <c r="A1011" s="233"/>
      <c r="B1011" s="234"/>
      <c r="C1011" s="234"/>
      <c r="D1011" s="226"/>
      <c r="E1011" s="226"/>
    </row>
    <row r="1012" ht="22.5" customHeight="1">
      <c r="A1012" s="233"/>
      <c r="B1012" s="234"/>
      <c r="C1012" s="234"/>
      <c r="D1012" s="226"/>
      <c r="E1012" s="226"/>
    </row>
    <row r="1013" ht="22.5" customHeight="1">
      <c r="A1013" s="233"/>
      <c r="B1013" s="234"/>
      <c r="C1013" s="234"/>
      <c r="D1013" s="226"/>
      <c r="E1013" s="226"/>
    </row>
    <row r="1014" ht="22.5" customHeight="1">
      <c r="A1014" s="233"/>
      <c r="B1014" s="234"/>
      <c r="C1014" s="234"/>
      <c r="D1014" s="226"/>
      <c r="E1014" s="226"/>
    </row>
    <row r="1015" ht="22.5" customHeight="1">
      <c r="A1015" s="233"/>
      <c r="B1015" s="234"/>
      <c r="C1015" s="234"/>
      <c r="D1015" s="226"/>
      <c r="E1015" s="226"/>
    </row>
  </sheetData>
  <dataValidations>
    <dataValidation type="list" allowBlank="1" sqref="C2:C1015">
      <formula1>#REF!</formula1>
    </dataValidation>
    <dataValidation type="custom" allowBlank="1" showDropDown="1" sqref="A2:A1015">
      <formula1>AND(ISNUMBER(A2),(NOT(OR(NOT(ISERROR(DATEVALUE(A2))), AND(ISNUMBER(A2), LEFT(CELL("format", A2))="D")))))</formula1>
    </dataValidation>
    <dataValidation type="list" allowBlank="1" sqref="B2:B1015">
      <formula1>#REF!</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17.25"/>
    <col customWidth="1" min="3" max="3" width="9.0"/>
  </cols>
  <sheetData>
    <row r="1">
      <c r="A1" s="283" t="s">
        <v>621</v>
      </c>
      <c r="B1" s="283" t="s">
        <v>622</v>
      </c>
      <c r="C1" s="283" t="s">
        <v>623</v>
      </c>
      <c r="D1" s="283" t="s">
        <v>624</v>
      </c>
      <c r="E1" s="283" t="s">
        <v>625</v>
      </c>
    </row>
    <row r="2">
      <c r="A2" s="24">
        <v>2310104.0</v>
      </c>
      <c r="B2" s="24" t="s">
        <v>628</v>
      </c>
      <c r="C2" s="24" t="s">
        <v>629</v>
      </c>
      <c r="D2" s="47">
        <v>969.0</v>
      </c>
      <c r="E2" s="47">
        <v>969.0</v>
      </c>
    </row>
    <row r="3">
      <c r="A3" s="24">
        <v>2000101.0</v>
      </c>
      <c r="B3" s="24" t="s">
        <v>631</v>
      </c>
      <c r="C3" s="24" t="s">
        <v>629</v>
      </c>
      <c r="D3" s="47">
        <v>765.0</v>
      </c>
      <c r="E3" s="47">
        <v>765.0</v>
      </c>
    </row>
    <row r="4">
      <c r="A4" s="24">
        <v>2720087.0</v>
      </c>
      <c r="B4" s="24" t="s">
        <v>632</v>
      </c>
      <c r="C4" s="24" t="s">
        <v>629</v>
      </c>
      <c r="D4" s="47">
        <v>2750.0</v>
      </c>
      <c r="E4" s="47">
        <v>2750.0</v>
      </c>
    </row>
    <row r="5">
      <c r="A5" s="24">
        <v>2010470.0</v>
      </c>
      <c r="B5" s="24" t="s">
        <v>633</v>
      </c>
      <c r="C5" s="24" t="s">
        <v>629</v>
      </c>
      <c r="D5" s="47">
        <v>2499.0</v>
      </c>
      <c r="E5" s="47">
        <v>2499.0</v>
      </c>
    </row>
    <row r="6">
      <c r="A6" s="24">
        <v>2900090.0</v>
      </c>
      <c r="B6" s="24" t="s">
        <v>634</v>
      </c>
      <c r="C6" s="24" t="s">
        <v>629</v>
      </c>
      <c r="D6" s="47">
        <v>2390.0</v>
      </c>
      <c r="E6" s="47">
        <v>2390.0</v>
      </c>
    </row>
    <row r="7">
      <c r="A7" s="24">
        <v>2780180.0</v>
      </c>
      <c r="B7" s="24" t="s">
        <v>635</v>
      </c>
      <c r="C7" s="24" t="s">
        <v>629</v>
      </c>
      <c r="D7" s="47">
        <v>599.0</v>
      </c>
      <c r="E7" s="47">
        <v>599.0</v>
      </c>
    </row>
    <row r="8">
      <c r="A8" s="24">
        <v>2780044.0</v>
      </c>
      <c r="B8" s="24" t="s">
        <v>636</v>
      </c>
      <c r="C8" s="24" t="s">
        <v>629</v>
      </c>
      <c r="D8" s="47">
        <v>510.0</v>
      </c>
      <c r="E8" s="47">
        <v>510.0</v>
      </c>
    </row>
    <row r="9">
      <c r="A9" s="24">
        <v>2811511.0</v>
      </c>
      <c r="B9" s="24" t="s">
        <v>637</v>
      </c>
      <c r="C9" s="24" t="s">
        <v>629</v>
      </c>
      <c r="D9" s="47">
        <v>2970.0</v>
      </c>
      <c r="E9" s="47">
        <v>2970.0</v>
      </c>
    </row>
    <row r="10">
      <c r="A10" s="24">
        <v>2760887.0</v>
      </c>
      <c r="B10" s="24" t="s">
        <v>638</v>
      </c>
      <c r="C10" s="24" t="s">
        <v>629</v>
      </c>
      <c r="D10" s="47">
        <v>2760.0</v>
      </c>
      <c r="E10" s="47">
        <v>2760.0</v>
      </c>
    </row>
    <row r="11">
      <c r="A11" s="24">
        <v>3011673.0</v>
      </c>
      <c r="B11" s="24" t="s">
        <v>640</v>
      </c>
      <c r="C11" s="24" t="s">
        <v>629</v>
      </c>
      <c r="D11" s="47">
        <v>970.0</v>
      </c>
      <c r="E11" s="47">
        <v>970.0</v>
      </c>
    </row>
    <row r="12">
      <c r="A12" s="24">
        <v>3011673.0</v>
      </c>
      <c r="B12" s="24" t="s">
        <v>641</v>
      </c>
      <c r="C12" s="24" t="s">
        <v>629</v>
      </c>
      <c r="D12" s="47">
        <v>288.0</v>
      </c>
      <c r="E12" s="47">
        <v>288.0</v>
      </c>
    </row>
    <row r="13">
      <c r="A13" s="24">
        <v>3051922.0</v>
      </c>
      <c r="B13" s="24" t="s">
        <v>642</v>
      </c>
      <c r="C13" s="24" t="s">
        <v>629</v>
      </c>
      <c r="D13" s="47">
        <v>288.0</v>
      </c>
      <c r="E13" s="47">
        <v>288.0</v>
      </c>
    </row>
    <row r="14">
      <c r="A14" s="24">
        <v>3051916.0</v>
      </c>
      <c r="B14" s="24" t="s">
        <v>643</v>
      </c>
      <c r="C14" s="24" t="s">
        <v>629</v>
      </c>
      <c r="D14" s="47">
        <v>288.0</v>
      </c>
      <c r="E14" s="47">
        <v>288.0</v>
      </c>
    </row>
    <row r="15">
      <c r="A15" s="24">
        <v>3051919.0</v>
      </c>
      <c r="B15" s="24" t="s">
        <v>644</v>
      </c>
      <c r="C15" s="24" t="s">
        <v>629</v>
      </c>
      <c r="D15" s="47">
        <v>1499.0</v>
      </c>
      <c r="E15" s="47">
        <v>1499.0</v>
      </c>
    </row>
    <row r="16">
      <c r="A16" s="24">
        <v>2460372.0</v>
      </c>
      <c r="B16" s="24" t="s">
        <v>645</v>
      </c>
      <c r="C16" s="24" t="s">
        <v>629</v>
      </c>
      <c r="D16" s="47">
        <v>2290.0</v>
      </c>
      <c r="E16" s="47">
        <v>2290.0</v>
      </c>
    </row>
    <row r="17">
      <c r="A17" s="24">
        <v>2830312.0</v>
      </c>
      <c r="B17" s="24" t="s">
        <v>646</v>
      </c>
      <c r="C17" s="24" t="s">
        <v>629</v>
      </c>
      <c r="D17" s="47">
        <v>950.0</v>
      </c>
      <c r="E17" s="47">
        <v>950.0</v>
      </c>
    </row>
    <row r="18">
      <c r="A18" s="24">
        <v>3011614.0</v>
      </c>
      <c r="B18" s="24" t="s">
        <v>647</v>
      </c>
      <c r="C18" s="24" t="s">
        <v>629</v>
      </c>
      <c r="D18" s="47">
        <v>1350.0</v>
      </c>
      <c r="E18" s="47">
        <v>1350.0</v>
      </c>
    </row>
    <row r="19">
      <c r="A19" s="24">
        <v>2681086.0</v>
      </c>
      <c r="B19" s="24" t="s">
        <v>649</v>
      </c>
      <c r="C19" s="24" t="s">
        <v>629</v>
      </c>
      <c r="D19" s="47">
        <v>5799.0</v>
      </c>
      <c r="E19" s="47">
        <v>5799.0</v>
      </c>
    </row>
    <row r="20">
      <c r="A20" s="24">
        <v>2030552.0</v>
      </c>
      <c r="B20" s="24" t="s">
        <v>650</v>
      </c>
      <c r="C20" s="24" t="s">
        <v>629</v>
      </c>
      <c r="D20" s="47">
        <v>2549.0</v>
      </c>
      <c r="E20" s="47">
        <v>2549.0</v>
      </c>
    </row>
    <row r="21">
      <c r="A21" s="24">
        <v>2320417.0</v>
      </c>
      <c r="B21" s="24" t="s">
        <v>651</v>
      </c>
      <c r="C21" s="24" t="s">
        <v>629</v>
      </c>
      <c r="D21" s="47">
        <v>1390.0</v>
      </c>
      <c r="E21" s="47">
        <v>1390.0</v>
      </c>
    </row>
    <row r="22">
      <c r="A22" s="24">
        <v>3020246.0</v>
      </c>
      <c r="B22" s="24" t="s">
        <v>652</v>
      </c>
      <c r="C22" s="24" t="s">
        <v>629</v>
      </c>
      <c r="D22" s="47">
        <v>619.0</v>
      </c>
      <c r="E22" s="47">
        <v>619.0</v>
      </c>
    </row>
    <row r="23">
      <c r="A23" s="24">
        <v>3280174.0</v>
      </c>
      <c r="B23" s="24" t="s">
        <v>652</v>
      </c>
      <c r="C23" s="24" t="s">
        <v>629</v>
      </c>
      <c r="D23" s="47">
        <v>619.0</v>
      </c>
      <c r="E23" s="47">
        <v>619.0</v>
      </c>
    </row>
    <row r="24">
      <c r="A24" s="24">
        <v>3280174.0</v>
      </c>
      <c r="B24" s="24" t="s">
        <v>652</v>
      </c>
      <c r="C24" s="24" t="s">
        <v>629</v>
      </c>
      <c r="D24" s="47">
        <v>619.0</v>
      </c>
      <c r="E24" s="47">
        <v>619.0</v>
      </c>
    </row>
    <row r="25">
      <c r="A25" s="24">
        <v>3280174.0</v>
      </c>
      <c r="B25" s="24" t="s">
        <v>654</v>
      </c>
      <c r="C25" s="24" t="s">
        <v>629</v>
      </c>
      <c r="D25" s="47">
        <v>1759.0</v>
      </c>
      <c r="E25" s="47">
        <v>1759.0</v>
      </c>
    </row>
    <row r="26">
      <c r="A26" s="24">
        <v>3263372.0</v>
      </c>
      <c r="B26" s="24" t="s">
        <v>654</v>
      </c>
      <c r="C26" s="24" t="s">
        <v>629</v>
      </c>
      <c r="D26" s="47">
        <v>1759.0</v>
      </c>
      <c r="E26" s="47">
        <v>1759.0</v>
      </c>
    </row>
    <row r="27">
      <c r="A27" s="24">
        <v>3263372.0</v>
      </c>
      <c r="B27" s="24" t="s">
        <v>655</v>
      </c>
      <c r="C27" s="24" t="s">
        <v>629</v>
      </c>
      <c r="D27" s="47">
        <v>2079.0</v>
      </c>
      <c r="E27" s="47">
        <v>2079.0</v>
      </c>
    </row>
    <row r="28">
      <c r="A28" s="24">
        <v>2080375.0</v>
      </c>
      <c r="B28" s="24" t="s">
        <v>656</v>
      </c>
      <c r="C28" s="24" t="s">
        <v>629</v>
      </c>
      <c r="D28" s="47">
        <v>1390.0</v>
      </c>
      <c r="E28" s="47">
        <v>16680.0</v>
      </c>
    </row>
    <row r="29">
      <c r="A29" s="24">
        <v>3262420.0</v>
      </c>
      <c r="B29" s="128"/>
      <c r="C29" s="128"/>
    </row>
    <row r="30">
      <c r="A30" s="128"/>
      <c r="B30" s="128"/>
      <c r="C30" s="128"/>
    </row>
    <row r="31">
      <c r="A31" s="128"/>
      <c r="B31" s="128"/>
      <c r="C31" s="128"/>
    </row>
    <row r="32">
      <c r="A32" s="128"/>
      <c r="B32" s="128"/>
      <c r="C32" s="128"/>
    </row>
    <row r="33">
      <c r="A33" s="128"/>
      <c r="B33" s="128"/>
      <c r="C33" s="128"/>
    </row>
    <row r="34">
      <c r="A34" s="128"/>
      <c r="B34" s="128"/>
      <c r="C34" s="128"/>
    </row>
    <row r="35">
      <c r="A35" s="128"/>
      <c r="B35" s="128"/>
      <c r="C35" s="128"/>
    </row>
    <row r="36">
      <c r="A36" s="128"/>
      <c r="B36" s="128"/>
      <c r="C36" s="128"/>
    </row>
    <row r="37">
      <c r="A37" s="128"/>
      <c r="B37" s="128"/>
      <c r="C37" s="128"/>
    </row>
    <row r="38">
      <c r="A38" s="128"/>
      <c r="B38" s="128"/>
      <c r="C38" s="128"/>
    </row>
    <row r="39">
      <c r="A39" s="128"/>
      <c r="B39" s="128"/>
      <c r="C39" s="128"/>
    </row>
    <row r="40">
      <c r="A40" s="128"/>
      <c r="B40" s="128"/>
      <c r="C40" s="128"/>
    </row>
    <row r="41">
      <c r="A41" s="128"/>
      <c r="B41" s="128"/>
      <c r="C41" s="128"/>
    </row>
    <row r="42">
      <c r="A42" s="128"/>
      <c r="B42" s="128"/>
      <c r="C42" s="128"/>
    </row>
    <row r="43">
      <c r="A43" s="128"/>
      <c r="B43" s="128"/>
      <c r="C43" s="128"/>
    </row>
    <row r="44">
      <c r="A44" s="128"/>
      <c r="B44" s="128"/>
      <c r="C44" s="128"/>
    </row>
    <row r="45">
      <c r="A45" s="128"/>
      <c r="B45" s="128"/>
      <c r="C45" s="128"/>
    </row>
    <row r="46">
      <c r="A46" s="128"/>
      <c r="B46" s="128"/>
      <c r="C46" s="128"/>
    </row>
    <row r="47">
      <c r="A47" s="128"/>
      <c r="B47" s="128"/>
      <c r="C47" s="128"/>
    </row>
    <row r="48">
      <c r="A48" s="128"/>
      <c r="B48" s="128"/>
      <c r="C48" s="128"/>
    </row>
    <row r="49">
      <c r="A49" s="128"/>
      <c r="B49" s="128"/>
      <c r="C49" s="128"/>
    </row>
    <row r="50">
      <c r="A50" s="128"/>
      <c r="B50" s="128"/>
      <c r="C50" s="128"/>
    </row>
    <row r="51">
      <c r="A51" s="128"/>
      <c r="B51" s="128"/>
      <c r="C51" s="128"/>
    </row>
    <row r="52">
      <c r="A52" s="128"/>
      <c r="B52" s="128"/>
      <c r="C52" s="128"/>
    </row>
    <row r="53">
      <c r="A53" s="128"/>
      <c r="B53" s="128"/>
      <c r="C53" s="128"/>
    </row>
    <row r="54">
      <c r="A54" s="128"/>
      <c r="B54" s="128"/>
      <c r="C54" s="128"/>
    </row>
    <row r="55">
      <c r="A55" s="128"/>
      <c r="B55" s="128"/>
      <c r="C55" s="128"/>
    </row>
    <row r="56">
      <c r="A56" s="128"/>
      <c r="B56" s="128"/>
      <c r="C56" s="128"/>
    </row>
    <row r="57">
      <c r="A57" s="128"/>
      <c r="B57" s="128"/>
      <c r="C57" s="128"/>
    </row>
    <row r="58">
      <c r="A58" s="128"/>
      <c r="B58" s="128"/>
      <c r="C58" s="128"/>
    </row>
    <row r="59">
      <c r="A59" s="128"/>
      <c r="B59" s="128"/>
      <c r="C59" s="128"/>
    </row>
    <row r="60">
      <c r="A60" s="128"/>
      <c r="B60" s="128"/>
      <c r="C60" s="128"/>
    </row>
    <row r="61">
      <c r="A61" s="128"/>
      <c r="B61" s="128"/>
      <c r="C61" s="128"/>
    </row>
    <row r="62">
      <c r="A62" s="128"/>
      <c r="B62" s="128"/>
      <c r="C62" s="128"/>
    </row>
    <row r="63">
      <c r="A63" s="128"/>
      <c r="B63" s="128"/>
      <c r="C63" s="128"/>
    </row>
    <row r="64">
      <c r="A64" s="128"/>
      <c r="B64" s="128"/>
      <c r="C64" s="128"/>
    </row>
    <row r="65">
      <c r="A65" s="128"/>
      <c r="B65" s="128"/>
      <c r="C65" s="128"/>
    </row>
    <row r="66">
      <c r="A66" s="128"/>
      <c r="B66" s="128"/>
      <c r="C66" s="128"/>
    </row>
    <row r="67">
      <c r="A67" s="128"/>
      <c r="B67" s="128"/>
      <c r="C67" s="128"/>
    </row>
    <row r="68">
      <c r="A68" s="128"/>
      <c r="B68" s="128"/>
      <c r="C68" s="128"/>
    </row>
    <row r="69">
      <c r="A69" s="128"/>
      <c r="B69" s="128"/>
      <c r="C69" s="128"/>
    </row>
    <row r="70">
      <c r="A70" s="128"/>
      <c r="B70" s="128"/>
      <c r="C70" s="128"/>
    </row>
    <row r="71">
      <c r="A71" s="128"/>
      <c r="B71" s="128"/>
      <c r="C71" s="128"/>
    </row>
    <row r="72">
      <c r="A72" s="128"/>
      <c r="B72" s="128"/>
      <c r="C72" s="128"/>
    </row>
    <row r="73">
      <c r="A73" s="128"/>
      <c r="B73" s="128"/>
      <c r="C73" s="128"/>
    </row>
    <row r="74">
      <c r="A74" s="128"/>
      <c r="B74" s="128"/>
      <c r="C74" s="128"/>
    </row>
    <row r="75">
      <c r="A75" s="128"/>
      <c r="B75" s="128"/>
      <c r="C75" s="128"/>
    </row>
    <row r="76">
      <c r="A76" s="128"/>
      <c r="B76" s="128"/>
      <c r="C76" s="128"/>
    </row>
    <row r="77">
      <c r="A77" s="128"/>
      <c r="B77" s="128"/>
      <c r="C77" s="128"/>
    </row>
    <row r="78">
      <c r="A78" s="128"/>
      <c r="B78" s="128"/>
      <c r="C78" s="128"/>
    </row>
    <row r="79">
      <c r="A79" s="128"/>
      <c r="B79" s="128"/>
      <c r="C79" s="128"/>
    </row>
    <row r="80">
      <c r="A80" s="128"/>
      <c r="B80" s="128"/>
      <c r="C80" s="128"/>
    </row>
    <row r="81">
      <c r="A81" s="128"/>
      <c r="B81" s="128"/>
      <c r="C81" s="128"/>
    </row>
    <row r="82">
      <c r="A82" s="128"/>
      <c r="B82" s="128"/>
      <c r="C82" s="128"/>
    </row>
    <row r="83">
      <c r="A83" s="128"/>
      <c r="B83" s="128"/>
      <c r="C83" s="128"/>
    </row>
    <row r="84">
      <c r="A84" s="128"/>
      <c r="B84" s="128"/>
      <c r="C84" s="128"/>
    </row>
    <row r="85">
      <c r="A85" s="128"/>
      <c r="B85" s="128"/>
      <c r="C85" s="128"/>
    </row>
    <row r="86">
      <c r="A86" s="128"/>
      <c r="B86" s="128"/>
      <c r="C86" s="128"/>
    </row>
    <row r="87">
      <c r="A87" s="128"/>
      <c r="B87" s="128"/>
      <c r="C87" s="128"/>
    </row>
    <row r="88">
      <c r="A88" s="128"/>
      <c r="B88" s="128"/>
      <c r="C88" s="128"/>
    </row>
    <row r="89">
      <c r="A89" s="128"/>
      <c r="B89" s="128"/>
      <c r="C89" s="128"/>
    </row>
    <row r="90">
      <c r="A90" s="128"/>
      <c r="B90" s="128"/>
      <c r="C90" s="128"/>
    </row>
    <row r="91">
      <c r="A91" s="128"/>
      <c r="B91" s="128"/>
      <c r="C91" s="128"/>
    </row>
    <row r="92">
      <c r="A92" s="128"/>
      <c r="B92" s="128"/>
      <c r="C92" s="128"/>
    </row>
    <row r="93">
      <c r="A93" s="128"/>
      <c r="B93" s="128"/>
      <c r="C93" s="128"/>
    </row>
    <row r="94">
      <c r="A94" s="128"/>
      <c r="B94" s="128"/>
      <c r="C94" s="128"/>
    </row>
    <row r="95">
      <c r="A95" s="128"/>
      <c r="B95" s="128"/>
      <c r="C95" s="128"/>
    </row>
    <row r="96">
      <c r="A96" s="128"/>
      <c r="B96" s="128"/>
      <c r="C96" s="128"/>
    </row>
    <row r="97">
      <c r="A97" s="128"/>
      <c r="B97" s="128"/>
      <c r="C97" s="128"/>
    </row>
    <row r="98">
      <c r="A98" s="128"/>
      <c r="B98" s="128"/>
      <c r="C98" s="128"/>
    </row>
    <row r="99">
      <c r="A99" s="128"/>
      <c r="B99" s="128"/>
      <c r="C99" s="128"/>
    </row>
    <row r="100">
      <c r="A100" s="128"/>
      <c r="B100" s="128"/>
      <c r="C100" s="128"/>
    </row>
    <row r="101">
      <c r="A101" s="128"/>
      <c r="B101" s="128"/>
      <c r="C101" s="128"/>
    </row>
    <row r="102">
      <c r="A102" s="128"/>
      <c r="B102" s="128"/>
      <c r="C102" s="128"/>
    </row>
    <row r="103">
      <c r="A103" s="128"/>
      <c r="B103" s="128"/>
      <c r="C103" s="128"/>
    </row>
    <row r="104">
      <c r="A104" s="128"/>
      <c r="B104" s="128"/>
      <c r="C104" s="128"/>
    </row>
    <row r="105">
      <c r="A105" s="128"/>
      <c r="B105" s="128"/>
      <c r="C105" s="128"/>
    </row>
    <row r="106">
      <c r="A106" s="128"/>
      <c r="B106" s="128"/>
      <c r="C106" s="128"/>
    </row>
    <row r="107">
      <c r="A107" s="128"/>
      <c r="B107" s="128"/>
      <c r="C107" s="128"/>
    </row>
    <row r="108">
      <c r="A108" s="128"/>
      <c r="B108" s="128"/>
      <c r="C108" s="128"/>
    </row>
    <row r="109">
      <c r="A109" s="128"/>
      <c r="B109" s="128"/>
      <c r="C109" s="128"/>
    </row>
    <row r="110">
      <c r="A110" s="128"/>
      <c r="B110" s="128"/>
      <c r="C110" s="128"/>
    </row>
    <row r="111">
      <c r="A111" s="128"/>
      <c r="B111" s="128"/>
      <c r="C111" s="128"/>
    </row>
    <row r="112">
      <c r="A112" s="128"/>
      <c r="B112" s="128"/>
      <c r="C112" s="128"/>
    </row>
    <row r="113">
      <c r="A113" s="128"/>
      <c r="B113" s="128"/>
      <c r="C113" s="128"/>
    </row>
    <row r="114">
      <c r="A114" s="128"/>
      <c r="B114" s="128"/>
      <c r="C114" s="128"/>
    </row>
    <row r="115">
      <c r="A115" s="128"/>
      <c r="B115" s="128"/>
      <c r="C115" s="128"/>
    </row>
    <row r="116">
      <c r="A116" s="128"/>
      <c r="B116" s="128"/>
      <c r="C116" s="128"/>
    </row>
    <row r="117">
      <c r="A117" s="128"/>
      <c r="B117" s="128"/>
      <c r="C117" s="128"/>
    </row>
    <row r="118">
      <c r="A118" s="128"/>
      <c r="B118" s="128"/>
      <c r="C118" s="128"/>
    </row>
    <row r="119">
      <c r="A119" s="128"/>
      <c r="B119" s="128"/>
      <c r="C119" s="128"/>
    </row>
    <row r="120">
      <c r="A120" s="128"/>
      <c r="B120" s="128"/>
      <c r="C120" s="128"/>
    </row>
    <row r="121">
      <c r="A121" s="128"/>
      <c r="B121" s="128"/>
      <c r="C121" s="128"/>
    </row>
    <row r="122">
      <c r="A122" s="128"/>
      <c r="B122" s="128"/>
      <c r="C122" s="128"/>
    </row>
    <row r="123">
      <c r="A123" s="128"/>
      <c r="B123" s="128"/>
      <c r="C123" s="128"/>
    </row>
    <row r="124">
      <c r="A124" s="128"/>
      <c r="B124" s="128"/>
      <c r="C124" s="128"/>
    </row>
    <row r="125">
      <c r="A125" s="128"/>
      <c r="B125" s="128"/>
      <c r="C125" s="128"/>
    </row>
    <row r="126">
      <c r="A126" s="128"/>
      <c r="B126" s="128"/>
      <c r="C126" s="128"/>
    </row>
    <row r="127">
      <c r="A127" s="128"/>
      <c r="B127" s="128"/>
      <c r="C127" s="128"/>
    </row>
    <row r="128">
      <c r="A128" s="128"/>
      <c r="B128" s="128"/>
      <c r="C128" s="128"/>
    </row>
    <row r="129">
      <c r="A129" s="128"/>
      <c r="B129" s="128"/>
      <c r="C129" s="128"/>
    </row>
    <row r="130">
      <c r="A130" s="128"/>
      <c r="B130" s="128"/>
      <c r="C130" s="128"/>
    </row>
    <row r="131">
      <c r="A131" s="128"/>
      <c r="B131" s="128"/>
      <c r="C131" s="128"/>
    </row>
    <row r="132">
      <c r="A132" s="128"/>
      <c r="B132" s="128"/>
      <c r="C132" s="128"/>
    </row>
    <row r="133">
      <c r="A133" s="128"/>
      <c r="B133" s="128"/>
      <c r="C133" s="128"/>
    </row>
    <row r="134">
      <c r="A134" s="128"/>
      <c r="B134" s="128"/>
      <c r="C134" s="128"/>
    </row>
    <row r="135">
      <c r="A135" s="128"/>
      <c r="B135" s="128"/>
      <c r="C135" s="128"/>
    </row>
    <row r="136">
      <c r="A136" s="128"/>
      <c r="B136" s="128"/>
      <c r="C136" s="128"/>
    </row>
    <row r="137">
      <c r="A137" s="128"/>
      <c r="B137" s="128"/>
      <c r="C137" s="128"/>
    </row>
    <row r="138">
      <c r="A138" s="128"/>
      <c r="B138" s="128"/>
      <c r="C138" s="128"/>
    </row>
    <row r="139">
      <c r="A139" s="128"/>
      <c r="B139" s="128"/>
      <c r="C139" s="128"/>
    </row>
    <row r="140">
      <c r="A140" s="128"/>
      <c r="B140" s="128"/>
      <c r="C140" s="128"/>
    </row>
    <row r="141">
      <c r="A141" s="128"/>
      <c r="B141" s="128"/>
      <c r="C141" s="128"/>
    </row>
    <row r="142">
      <c r="A142" s="128"/>
      <c r="B142" s="128"/>
      <c r="C142" s="128"/>
    </row>
    <row r="143">
      <c r="A143" s="128"/>
      <c r="B143" s="128"/>
      <c r="C143" s="128"/>
    </row>
    <row r="144">
      <c r="A144" s="128"/>
      <c r="B144" s="128"/>
      <c r="C144" s="128"/>
    </row>
    <row r="145">
      <c r="A145" s="128"/>
      <c r="B145" s="128"/>
      <c r="C145" s="128"/>
    </row>
    <row r="146">
      <c r="A146" s="128"/>
      <c r="B146" s="128"/>
      <c r="C146" s="128"/>
    </row>
    <row r="147">
      <c r="A147" s="128"/>
      <c r="B147" s="128"/>
      <c r="C147" s="128"/>
    </row>
    <row r="148">
      <c r="A148" s="128"/>
      <c r="B148" s="128"/>
      <c r="C148" s="128"/>
    </row>
    <row r="149">
      <c r="A149" s="128"/>
      <c r="B149" s="128"/>
      <c r="C149" s="128"/>
    </row>
    <row r="150">
      <c r="A150" s="128"/>
      <c r="B150" s="128"/>
      <c r="C150" s="128"/>
    </row>
    <row r="151">
      <c r="A151" s="128"/>
      <c r="B151" s="128"/>
      <c r="C151" s="128"/>
    </row>
    <row r="152">
      <c r="A152" s="128"/>
      <c r="B152" s="128"/>
      <c r="C152" s="128"/>
    </row>
    <row r="153">
      <c r="A153" s="128"/>
      <c r="B153" s="128"/>
      <c r="C153" s="128"/>
    </row>
    <row r="154">
      <c r="A154" s="128"/>
      <c r="B154" s="128"/>
      <c r="C154" s="128"/>
    </row>
    <row r="155">
      <c r="A155" s="128"/>
      <c r="B155" s="128"/>
      <c r="C155" s="128"/>
    </row>
    <row r="156">
      <c r="A156" s="128"/>
      <c r="B156" s="128"/>
      <c r="C156" s="128"/>
    </row>
    <row r="157">
      <c r="A157" s="128"/>
      <c r="B157" s="128"/>
      <c r="C157" s="128"/>
    </row>
    <row r="158">
      <c r="A158" s="128"/>
      <c r="B158" s="128"/>
      <c r="C158" s="128"/>
    </row>
    <row r="159">
      <c r="A159" s="128"/>
      <c r="B159" s="128"/>
      <c r="C159" s="128"/>
    </row>
    <row r="160">
      <c r="A160" s="128"/>
      <c r="B160" s="128"/>
      <c r="C160" s="128"/>
    </row>
    <row r="161">
      <c r="A161" s="128"/>
      <c r="B161" s="128"/>
      <c r="C161" s="128"/>
    </row>
    <row r="162">
      <c r="A162" s="128"/>
      <c r="B162" s="128"/>
      <c r="C162" s="128"/>
    </row>
    <row r="163">
      <c r="A163" s="128"/>
      <c r="B163" s="128"/>
      <c r="C163" s="128"/>
    </row>
    <row r="164">
      <c r="A164" s="128"/>
      <c r="B164" s="128"/>
      <c r="C164" s="128"/>
    </row>
    <row r="165">
      <c r="A165" s="128"/>
      <c r="B165" s="128"/>
      <c r="C165" s="128"/>
    </row>
    <row r="166">
      <c r="A166" s="128"/>
      <c r="B166" s="128"/>
      <c r="C166" s="128"/>
    </row>
    <row r="167">
      <c r="A167" s="128"/>
      <c r="B167" s="128"/>
      <c r="C167" s="128"/>
    </row>
    <row r="168">
      <c r="A168" s="128"/>
      <c r="B168" s="128"/>
      <c r="C168" s="128"/>
    </row>
    <row r="169">
      <c r="A169" s="128"/>
      <c r="B169" s="128"/>
      <c r="C169" s="128"/>
    </row>
    <row r="170">
      <c r="A170" s="128"/>
      <c r="B170" s="128"/>
      <c r="C170" s="128"/>
    </row>
    <row r="171">
      <c r="A171" s="128"/>
      <c r="B171" s="128"/>
      <c r="C171" s="128"/>
    </row>
    <row r="172">
      <c r="A172" s="128"/>
      <c r="B172" s="128"/>
      <c r="C172" s="128"/>
    </row>
    <row r="173">
      <c r="A173" s="128"/>
      <c r="B173" s="128"/>
      <c r="C173" s="128"/>
    </row>
    <row r="174">
      <c r="A174" s="128"/>
      <c r="B174" s="128"/>
      <c r="C174" s="128"/>
    </row>
    <row r="175">
      <c r="A175" s="128"/>
      <c r="B175" s="128"/>
      <c r="C175" s="128"/>
    </row>
    <row r="176">
      <c r="A176" s="128"/>
      <c r="B176" s="128"/>
      <c r="C176" s="128"/>
    </row>
    <row r="177">
      <c r="A177" s="128"/>
      <c r="B177" s="128"/>
      <c r="C177" s="128"/>
    </row>
    <row r="178">
      <c r="A178" s="128"/>
      <c r="B178" s="128"/>
      <c r="C178" s="128"/>
    </row>
    <row r="179">
      <c r="A179" s="128"/>
      <c r="B179" s="128"/>
      <c r="C179" s="128"/>
    </row>
    <row r="180">
      <c r="A180" s="128"/>
      <c r="B180" s="128"/>
      <c r="C180" s="128"/>
    </row>
    <row r="181">
      <c r="A181" s="128"/>
      <c r="B181" s="128"/>
      <c r="C181" s="128"/>
    </row>
    <row r="182">
      <c r="A182" s="128"/>
      <c r="B182" s="128"/>
      <c r="C182" s="128"/>
    </row>
    <row r="183">
      <c r="A183" s="128"/>
      <c r="B183" s="128"/>
      <c r="C183" s="128"/>
    </row>
    <row r="184">
      <c r="A184" s="128"/>
      <c r="B184" s="128"/>
      <c r="C184" s="128"/>
    </row>
    <row r="185">
      <c r="A185" s="128"/>
      <c r="B185" s="128"/>
      <c r="C185" s="128"/>
    </row>
    <row r="186">
      <c r="A186" s="128"/>
      <c r="B186" s="128"/>
      <c r="C186" s="128"/>
    </row>
    <row r="187">
      <c r="A187" s="128"/>
      <c r="B187" s="128"/>
      <c r="C187" s="128"/>
    </row>
    <row r="188">
      <c r="A188" s="128"/>
      <c r="B188" s="128"/>
      <c r="C188" s="128"/>
    </row>
    <row r="189">
      <c r="A189" s="128"/>
      <c r="B189" s="128"/>
      <c r="C189" s="128"/>
    </row>
    <row r="190">
      <c r="A190" s="128"/>
      <c r="B190" s="128"/>
      <c r="C190" s="128"/>
    </row>
    <row r="191">
      <c r="A191" s="128"/>
      <c r="B191" s="128"/>
      <c r="C191" s="128"/>
    </row>
    <row r="192">
      <c r="A192" s="128"/>
      <c r="B192" s="128"/>
      <c r="C192" s="128"/>
    </row>
    <row r="193">
      <c r="A193" s="128"/>
      <c r="B193" s="128"/>
      <c r="C193" s="128"/>
    </row>
    <row r="194">
      <c r="A194" s="128"/>
      <c r="B194" s="128"/>
      <c r="C194" s="128"/>
    </row>
    <row r="195">
      <c r="A195" s="128"/>
      <c r="B195" s="128"/>
      <c r="C195" s="128"/>
    </row>
    <row r="196">
      <c r="A196" s="128"/>
      <c r="B196" s="128"/>
      <c r="C196" s="128"/>
    </row>
    <row r="197">
      <c r="A197" s="128"/>
      <c r="B197" s="128"/>
      <c r="C197" s="128"/>
    </row>
    <row r="198">
      <c r="A198" s="128"/>
      <c r="B198" s="128"/>
      <c r="C198" s="128"/>
    </row>
    <row r="199">
      <c r="A199" s="128"/>
      <c r="B199" s="128"/>
      <c r="C199" s="128"/>
    </row>
    <row r="200">
      <c r="A200" s="128"/>
      <c r="B200" s="128"/>
      <c r="C200" s="128"/>
    </row>
    <row r="201">
      <c r="A201" s="128"/>
      <c r="B201" s="128"/>
      <c r="C201" s="128"/>
    </row>
    <row r="202">
      <c r="A202" s="128"/>
      <c r="B202" s="128"/>
      <c r="C202" s="128"/>
    </row>
    <row r="203">
      <c r="A203" s="128"/>
      <c r="B203" s="128"/>
      <c r="C203" s="128"/>
    </row>
    <row r="204">
      <c r="A204" s="128"/>
      <c r="B204" s="128"/>
      <c r="C204" s="128"/>
    </row>
    <row r="205">
      <c r="A205" s="128"/>
      <c r="B205" s="128"/>
      <c r="C205" s="128"/>
    </row>
    <row r="206">
      <c r="A206" s="128"/>
      <c r="B206" s="128"/>
      <c r="C206" s="128"/>
    </row>
    <row r="207">
      <c r="A207" s="128"/>
      <c r="B207" s="128"/>
      <c r="C207" s="128"/>
    </row>
    <row r="208">
      <c r="A208" s="128"/>
      <c r="B208" s="128"/>
      <c r="C208" s="128"/>
    </row>
    <row r="209">
      <c r="A209" s="128"/>
      <c r="B209" s="128"/>
      <c r="C209" s="128"/>
    </row>
    <row r="210">
      <c r="A210" s="128"/>
      <c r="B210" s="128"/>
      <c r="C210" s="128"/>
    </row>
    <row r="211">
      <c r="A211" s="128"/>
      <c r="B211" s="128"/>
      <c r="C211" s="128"/>
    </row>
    <row r="212">
      <c r="A212" s="128"/>
      <c r="B212" s="128"/>
      <c r="C212" s="128"/>
    </row>
    <row r="213">
      <c r="A213" s="128"/>
      <c r="B213" s="128"/>
      <c r="C213" s="128"/>
    </row>
    <row r="214">
      <c r="A214" s="128"/>
      <c r="B214" s="128"/>
      <c r="C214" s="128"/>
    </row>
    <row r="215">
      <c r="A215" s="128"/>
      <c r="B215" s="128"/>
      <c r="C215" s="128"/>
    </row>
    <row r="216">
      <c r="A216" s="128"/>
      <c r="B216" s="128"/>
      <c r="C216" s="128"/>
    </row>
    <row r="217">
      <c r="A217" s="128"/>
      <c r="B217" s="128"/>
      <c r="C217" s="128"/>
    </row>
    <row r="218">
      <c r="A218" s="128"/>
      <c r="B218" s="128"/>
      <c r="C218" s="128"/>
    </row>
    <row r="219">
      <c r="A219" s="128"/>
      <c r="B219" s="128"/>
      <c r="C219" s="128"/>
    </row>
    <row r="220">
      <c r="A220" s="128"/>
      <c r="B220" s="128"/>
      <c r="C220" s="128"/>
    </row>
    <row r="221">
      <c r="A221" s="128"/>
      <c r="B221" s="128"/>
      <c r="C221" s="128"/>
    </row>
    <row r="222">
      <c r="A222" s="128"/>
      <c r="B222" s="128"/>
      <c r="C222" s="128"/>
    </row>
    <row r="223">
      <c r="A223" s="128"/>
      <c r="B223" s="128"/>
      <c r="C223" s="128"/>
    </row>
    <row r="224">
      <c r="A224" s="128"/>
      <c r="B224" s="128"/>
      <c r="C224" s="128"/>
    </row>
    <row r="225">
      <c r="A225" s="128"/>
      <c r="B225" s="128"/>
      <c r="C225" s="128"/>
    </row>
    <row r="226">
      <c r="A226" s="128"/>
      <c r="B226" s="128"/>
      <c r="C226" s="128"/>
    </row>
    <row r="227">
      <c r="A227" s="128"/>
      <c r="B227" s="128"/>
      <c r="C227" s="128"/>
    </row>
    <row r="228">
      <c r="A228" s="128"/>
      <c r="B228" s="128"/>
      <c r="C228" s="128"/>
    </row>
    <row r="229">
      <c r="A229" s="128"/>
      <c r="B229" s="128"/>
      <c r="C229" s="128"/>
    </row>
    <row r="230">
      <c r="A230" s="128"/>
      <c r="B230" s="128"/>
      <c r="C230" s="128"/>
    </row>
    <row r="231">
      <c r="A231" s="128"/>
      <c r="B231" s="128"/>
      <c r="C231" s="128"/>
    </row>
    <row r="232">
      <c r="A232" s="128"/>
      <c r="B232" s="128"/>
      <c r="C232" s="128"/>
    </row>
    <row r="233">
      <c r="A233" s="128"/>
      <c r="B233" s="128"/>
      <c r="C233" s="128"/>
    </row>
    <row r="234">
      <c r="A234" s="128"/>
      <c r="B234" s="128"/>
      <c r="C234" s="128"/>
    </row>
    <row r="235">
      <c r="A235" s="128"/>
      <c r="B235" s="128"/>
      <c r="C235" s="128"/>
    </row>
    <row r="236">
      <c r="A236" s="128"/>
      <c r="B236" s="128"/>
      <c r="C236" s="128"/>
    </row>
    <row r="237">
      <c r="A237" s="128"/>
      <c r="B237" s="128"/>
      <c r="C237" s="128"/>
    </row>
    <row r="238">
      <c r="A238" s="128"/>
      <c r="B238" s="128"/>
      <c r="C238" s="128"/>
    </row>
    <row r="239">
      <c r="A239" s="128"/>
      <c r="B239" s="128"/>
      <c r="C239" s="128"/>
    </row>
    <row r="240">
      <c r="A240" s="128"/>
      <c r="B240" s="128"/>
      <c r="C240" s="128"/>
    </row>
    <row r="241">
      <c r="A241" s="128"/>
      <c r="B241" s="128"/>
      <c r="C241" s="128"/>
    </row>
    <row r="242">
      <c r="A242" s="128"/>
      <c r="B242" s="128"/>
      <c r="C242" s="128"/>
    </row>
    <row r="243">
      <c r="A243" s="128"/>
      <c r="B243" s="128"/>
      <c r="C243" s="128"/>
    </row>
    <row r="244">
      <c r="A244" s="128"/>
      <c r="B244" s="128"/>
      <c r="C244" s="128"/>
    </row>
    <row r="245">
      <c r="A245" s="128"/>
      <c r="B245" s="128"/>
      <c r="C245" s="128"/>
    </row>
    <row r="246">
      <c r="A246" s="128"/>
      <c r="B246" s="128"/>
      <c r="C246" s="128"/>
    </row>
    <row r="247">
      <c r="A247" s="128"/>
      <c r="B247" s="128"/>
      <c r="C247" s="128"/>
    </row>
    <row r="248">
      <c r="A248" s="128"/>
      <c r="B248" s="128"/>
      <c r="C248" s="128"/>
    </row>
    <row r="249">
      <c r="A249" s="128"/>
      <c r="B249" s="128"/>
      <c r="C249" s="128"/>
    </row>
    <row r="250">
      <c r="A250" s="128"/>
      <c r="B250" s="128"/>
      <c r="C250" s="128"/>
    </row>
    <row r="251">
      <c r="A251" s="128"/>
      <c r="B251" s="128"/>
      <c r="C251" s="128"/>
    </row>
    <row r="252">
      <c r="A252" s="128"/>
      <c r="B252" s="128"/>
      <c r="C252" s="128"/>
    </row>
    <row r="253">
      <c r="A253" s="128"/>
      <c r="B253" s="128"/>
      <c r="C253" s="128"/>
    </row>
    <row r="254">
      <c r="A254" s="128"/>
      <c r="B254" s="128"/>
      <c r="C254" s="128"/>
    </row>
    <row r="255">
      <c r="A255" s="128"/>
      <c r="B255" s="128"/>
      <c r="C255" s="128"/>
    </row>
    <row r="256">
      <c r="A256" s="128"/>
      <c r="B256" s="128"/>
      <c r="C256" s="128"/>
    </row>
    <row r="257">
      <c r="A257" s="128"/>
      <c r="B257" s="128"/>
      <c r="C257" s="128"/>
    </row>
    <row r="258">
      <c r="A258" s="128"/>
      <c r="B258" s="128"/>
      <c r="C258" s="128"/>
    </row>
    <row r="259">
      <c r="A259" s="128"/>
      <c r="B259" s="128"/>
      <c r="C259" s="128"/>
    </row>
    <row r="260">
      <c r="A260" s="128"/>
      <c r="B260" s="128"/>
      <c r="C260" s="128"/>
    </row>
    <row r="261">
      <c r="A261" s="128"/>
      <c r="B261" s="128"/>
      <c r="C261" s="128"/>
    </row>
    <row r="262">
      <c r="A262" s="128"/>
      <c r="B262" s="128"/>
      <c r="C262" s="128"/>
    </row>
    <row r="263">
      <c r="A263" s="128"/>
      <c r="B263" s="128"/>
      <c r="C263" s="128"/>
    </row>
    <row r="264">
      <c r="A264" s="128"/>
      <c r="B264" s="128"/>
      <c r="C264" s="128"/>
    </row>
    <row r="265">
      <c r="A265" s="128"/>
      <c r="B265" s="128"/>
      <c r="C265" s="128"/>
    </row>
    <row r="266">
      <c r="A266" s="128"/>
      <c r="B266" s="128"/>
      <c r="C266" s="128"/>
    </row>
    <row r="267">
      <c r="A267" s="128"/>
      <c r="B267" s="128"/>
      <c r="C267" s="128"/>
    </row>
    <row r="268">
      <c r="A268" s="128"/>
      <c r="B268" s="128"/>
      <c r="C268" s="128"/>
    </row>
    <row r="269">
      <c r="A269" s="128"/>
      <c r="B269" s="128"/>
      <c r="C269" s="128"/>
    </row>
    <row r="270">
      <c r="A270" s="128"/>
      <c r="B270" s="128"/>
      <c r="C270" s="128"/>
    </row>
    <row r="271">
      <c r="A271" s="128"/>
      <c r="B271" s="128"/>
      <c r="C271" s="128"/>
    </row>
    <row r="272">
      <c r="A272" s="128"/>
      <c r="B272" s="128"/>
      <c r="C272" s="128"/>
    </row>
    <row r="273">
      <c r="A273" s="128"/>
      <c r="B273" s="128"/>
      <c r="C273" s="128"/>
    </row>
    <row r="274">
      <c r="A274" s="128"/>
      <c r="B274" s="128"/>
      <c r="C274" s="128"/>
    </row>
    <row r="275">
      <c r="A275" s="128"/>
      <c r="B275" s="128"/>
      <c r="C275" s="128"/>
    </row>
    <row r="276">
      <c r="A276" s="128"/>
      <c r="B276" s="128"/>
      <c r="C276" s="128"/>
    </row>
    <row r="277">
      <c r="A277" s="128"/>
      <c r="B277" s="128"/>
      <c r="C277" s="128"/>
    </row>
    <row r="278">
      <c r="A278" s="128"/>
      <c r="B278" s="128"/>
      <c r="C278" s="128"/>
    </row>
    <row r="279">
      <c r="A279" s="128"/>
      <c r="B279" s="128"/>
      <c r="C279" s="128"/>
    </row>
    <row r="280">
      <c r="A280" s="128"/>
      <c r="B280" s="128"/>
      <c r="C280" s="128"/>
    </row>
    <row r="281">
      <c r="A281" s="128"/>
      <c r="B281" s="128"/>
      <c r="C281" s="128"/>
    </row>
    <row r="282">
      <c r="A282" s="128"/>
      <c r="B282" s="128"/>
      <c r="C282" s="128"/>
    </row>
    <row r="283">
      <c r="A283" s="128"/>
      <c r="B283" s="128"/>
      <c r="C283" s="128"/>
    </row>
    <row r="284">
      <c r="A284" s="128"/>
      <c r="B284" s="128"/>
      <c r="C284" s="128"/>
    </row>
    <row r="285">
      <c r="A285" s="128"/>
      <c r="B285" s="128"/>
      <c r="C285" s="128"/>
    </row>
    <row r="286">
      <c r="A286" s="128"/>
      <c r="B286" s="128"/>
      <c r="C286" s="128"/>
    </row>
    <row r="287">
      <c r="A287" s="128"/>
      <c r="B287" s="128"/>
      <c r="C287" s="128"/>
    </row>
    <row r="288">
      <c r="A288" s="128"/>
      <c r="B288" s="128"/>
      <c r="C288" s="128"/>
    </row>
    <row r="289">
      <c r="A289" s="128"/>
      <c r="B289" s="128"/>
      <c r="C289" s="128"/>
    </row>
    <row r="290">
      <c r="A290" s="128"/>
      <c r="B290" s="128"/>
      <c r="C290" s="128"/>
    </row>
    <row r="291">
      <c r="A291" s="128"/>
      <c r="B291" s="128"/>
      <c r="C291" s="128"/>
    </row>
    <row r="292">
      <c r="A292" s="128"/>
      <c r="B292" s="128"/>
      <c r="C292" s="128"/>
    </row>
    <row r="293">
      <c r="A293" s="128"/>
      <c r="B293" s="128"/>
      <c r="C293" s="128"/>
    </row>
    <row r="294">
      <c r="A294" s="128"/>
      <c r="B294" s="128"/>
      <c r="C294" s="128"/>
    </row>
    <row r="295">
      <c r="A295" s="128"/>
      <c r="B295" s="128"/>
      <c r="C295" s="128"/>
    </row>
    <row r="296">
      <c r="A296" s="128"/>
      <c r="B296" s="128"/>
      <c r="C296" s="128"/>
    </row>
    <row r="297">
      <c r="A297" s="128"/>
      <c r="B297" s="128"/>
      <c r="C297" s="128"/>
    </row>
    <row r="298">
      <c r="A298" s="128"/>
      <c r="B298" s="128"/>
      <c r="C298" s="128"/>
    </row>
    <row r="299">
      <c r="A299" s="128"/>
      <c r="B299" s="128"/>
      <c r="C299" s="128"/>
    </row>
    <row r="300">
      <c r="A300" s="128"/>
      <c r="B300" s="128"/>
      <c r="C300" s="128"/>
    </row>
    <row r="301">
      <c r="A301" s="128"/>
      <c r="B301" s="128"/>
      <c r="C301" s="128"/>
    </row>
    <row r="302">
      <c r="A302" s="128"/>
      <c r="B302" s="128"/>
      <c r="C302" s="128"/>
    </row>
    <row r="303">
      <c r="A303" s="128"/>
      <c r="B303" s="128"/>
      <c r="C303" s="128"/>
    </row>
    <row r="304">
      <c r="A304" s="128"/>
      <c r="B304" s="128"/>
      <c r="C304" s="128"/>
    </row>
    <row r="305">
      <c r="A305" s="128"/>
      <c r="B305" s="128"/>
      <c r="C305" s="128"/>
    </row>
    <row r="306">
      <c r="A306" s="128"/>
      <c r="B306" s="128"/>
      <c r="C306" s="128"/>
    </row>
    <row r="307">
      <c r="A307" s="128"/>
      <c r="B307" s="128"/>
      <c r="C307" s="128"/>
    </row>
    <row r="308">
      <c r="A308" s="128"/>
      <c r="B308" s="128"/>
      <c r="C308" s="128"/>
    </row>
    <row r="309">
      <c r="A309" s="128"/>
      <c r="B309" s="128"/>
      <c r="C309" s="128"/>
    </row>
    <row r="310">
      <c r="A310" s="128"/>
      <c r="B310" s="128"/>
      <c r="C310" s="128"/>
    </row>
    <row r="311">
      <c r="A311" s="128"/>
      <c r="B311" s="128"/>
      <c r="C311" s="128"/>
    </row>
    <row r="312">
      <c r="A312" s="128"/>
      <c r="B312" s="128"/>
      <c r="C312" s="128"/>
    </row>
    <row r="313">
      <c r="A313" s="128"/>
      <c r="B313" s="128"/>
      <c r="C313" s="128"/>
    </row>
    <row r="314">
      <c r="A314" s="128"/>
      <c r="B314" s="128"/>
      <c r="C314" s="128"/>
    </row>
    <row r="315">
      <c r="A315" s="128"/>
      <c r="B315" s="128"/>
      <c r="C315" s="128"/>
    </row>
    <row r="316">
      <c r="A316" s="128"/>
      <c r="B316" s="128"/>
      <c r="C316" s="128"/>
    </row>
    <row r="317">
      <c r="A317" s="128"/>
      <c r="B317" s="128"/>
      <c r="C317" s="128"/>
    </row>
    <row r="318">
      <c r="A318" s="128"/>
      <c r="B318" s="128"/>
      <c r="C318" s="128"/>
    </row>
    <row r="319">
      <c r="A319" s="128"/>
      <c r="B319" s="128"/>
      <c r="C319" s="128"/>
    </row>
    <row r="320">
      <c r="A320" s="128"/>
      <c r="B320" s="128"/>
      <c r="C320" s="128"/>
    </row>
    <row r="321">
      <c r="A321" s="128"/>
      <c r="B321" s="128"/>
      <c r="C321" s="128"/>
    </row>
    <row r="322">
      <c r="A322" s="128"/>
      <c r="B322" s="128"/>
      <c r="C322" s="128"/>
    </row>
    <row r="323">
      <c r="A323" s="128"/>
      <c r="B323" s="128"/>
      <c r="C323" s="128"/>
    </row>
    <row r="324">
      <c r="A324" s="128"/>
      <c r="B324" s="128"/>
      <c r="C324" s="128"/>
    </row>
    <row r="325">
      <c r="A325" s="128"/>
      <c r="B325" s="128"/>
      <c r="C325" s="128"/>
    </row>
    <row r="326">
      <c r="A326" s="128"/>
      <c r="B326" s="128"/>
      <c r="C326" s="128"/>
    </row>
    <row r="327">
      <c r="A327" s="128"/>
      <c r="B327" s="128"/>
      <c r="C327" s="128"/>
    </row>
    <row r="328">
      <c r="A328" s="128"/>
      <c r="B328" s="128"/>
      <c r="C328" s="128"/>
    </row>
    <row r="329">
      <c r="A329" s="128"/>
      <c r="B329" s="128"/>
      <c r="C329" s="128"/>
    </row>
    <row r="330">
      <c r="A330" s="128"/>
      <c r="B330" s="128"/>
      <c r="C330" s="128"/>
    </row>
    <row r="331">
      <c r="A331" s="128"/>
      <c r="B331" s="128"/>
      <c r="C331" s="128"/>
    </row>
    <row r="332">
      <c r="A332" s="128"/>
      <c r="B332" s="128"/>
      <c r="C332" s="128"/>
    </row>
    <row r="333">
      <c r="A333" s="128"/>
      <c r="B333" s="128"/>
      <c r="C333" s="128"/>
    </row>
    <row r="334">
      <c r="A334" s="128"/>
      <c r="B334" s="128"/>
      <c r="C334" s="128"/>
    </row>
    <row r="335">
      <c r="A335" s="128"/>
      <c r="B335" s="128"/>
      <c r="C335" s="128"/>
    </row>
    <row r="336">
      <c r="A336" s="128"/>
      <c r="B336" s="128"/>
      <c r="C336" s="128"/>
    </row>
    <row r="337">
      <c r="A337" s="128"/>
      <c r="B337" s="128"/>
      <c r="C337" s="128"/>
    </row>
    <row r="338">
      <c r="A338" s="128"/>
      <c r="B338" s="128"/>
      <c r="C338" s="128"/>
    </row>
    <row r="339">
      <c r="A339" s="128"/>
      <c r="B339" s="128"/>
      <c r="C339" s="128"/>
    </row>
    <row r="340">
      <c r="A340" s="128"/>
      <c r="B340" s="128"/>
      <c r="C340" s="128"/>
    </row>
    <row r="341">
      <c r="A341" s="128"/>
      <c r="B341" s="128"/>
      <c r="C341" s="128"/>
    </row>
    <row r="342">
      <c r="A342" s="128"/>
      <c r="B342" s="128"/>
      <c r="C342" s="128"/>
    </row>
    <row r="343">
      <c r="A343" s="128"/>
      <c r="B343" s="128"/>
      <c r="C343" s="128"/>
    </row>
    <row r="344">
      <c r="A344" s="128"/>
      <c r="B344" s="128"/>
      <c r="C344" s="128"/>
    </row>
    <row r="345">
      <c r="A345" s="128"/>
      <c r="B345" s="128"/>
      <c r="C345" s="128"/>
    </row>
    <row r="346">
      <c r="A346" s="128"/>
      <c r="B346" s="128"/>
      <c r="C346" s="128"/>
    </row>
    <row r="347">
      <c r="A347" s="128"/>
      <c r="B347" s="128"/>
      <c r="C347" s="128"/>
    </row>
    <row r="348">
      <c r="A348" s="128"/>
      <c r="B348" s="128"/>
      <c r="C348" s="128"/>
    </row>
    <row r="349">
      <c r="A349" s="128"/>
      <c r="B349" s="128"/>
      <c r="C349" s="128"/>
    </row>
    <row r="350">
      <c r="A350" s="128"/>
      <c r="B350" s="128"/>
      <c r="C350" s="128"/>
    </row>
    <row r="351">
      <c r="A351" s="128"/>
      <c r="B351" s="128"/>
      <c r="C351" s="128"/>
    </row>
    <row r="352">
      <c r="A352" s="128"/>
      <c r="B352" s="128"/>
      <c r="C352" s="128"/>
    </row>
    <row r="353">
      <c r="A353" s="128"/>
      <c r="B353" s="128"/>
      <c r="C353" s="128"/>
    </row>
    <row r="354">
      <c r="A354" s="128"/>
      <c r="B354" s="128"/>
      <c r="C354" s="128"/>
    </row>
    <row r="355">
      <c r="A355" s="128"/>
      <c r="B355" s="128"/>
      <c r="C355" s="128"/>
    </row>
    <row r="356">
      <c r="A356" s="128"/>
      <c r="B356" s="128"/>
      <c r="C356" s="128"/>
    </row>
    <row r="357">
      <c r="A357" s="128"/>
      <c r="B357" s="128"/>
      <c r="C357" s="128"/>
    </row>
    <row r="358">
      <c r="A358" s="128"/>
      <c r="B358" s="128"/>
      <c r="C358" s="128"/>
    </row>
    <row r="359">
      <c r="A359" s="128"/>
      <c r="B359" s="128"/>
      <c r="C359" s="128"/>
    </row>
    <row r="360">
      <c r="A360" s="128"/>
      <c r="B360" s="128"/>
      <c r="C360" s="128"/>
    </row>
    <row r="361">
      <c r="A361" s="128"/>
      <c r="B361" s="128"/>
      <c r="C361" s="128"/>
    </row>
    <row r="362">
      <c r="A362" s="128"/>
      <c r="B362" s="128"/>
      <c r="C362" s="128"/>
    </row>
    <row r="363">
      <c r="A363" s="128"/>
      <c r="B363" s="128"/>
      <c r="C363" s="128"/>
    </row>
    <row r="364">
      <c r="A364" s="128"/>
      <c r="B364" s="128"/>
      <c r="C364" s="128"/>
    </row>
    <row r="365">
      <c r="A365" s="128"/>
      <c r="B365" s="128"/>
      <c r="C365" s="128"/>
    </row>
    <row r="366">
      <c r="A366" s="128"/>
      <c r="B366" s="128"/>
      <c r="C366" s="128"/>
    </row>
    <row r="367">
      <c r="A367" s="128"/>
      <c r="B367" s="128"/>
      <c r="C367" s="128"/>
    </row>
    <row r="368">
      <c r="A368" s="128"/>
      <c r="B368" s="128"/>
      <c r="C368" s="128"/>
    </row>
    <row r="369">
      <c r="A369" s="128"/>
      <c r="B369" s="128"/>
      <c r="C369" s="128"/>
    </row>
    <row r="370">
      <c r="A370" s="128"/>
      <c r="B370" s="128"/>
      <c r="C370" s="128"/>
    </row>
    <row r="371">
      <c r="A371" s="128"/>
      <c r="B371" s="128"/>
      <c r="C371" s="128"/>
    </row>
    <row r="372">
      <c r="A372" s="128"/>
      <c r="B372" s="128"/>
      <c r="C372" s="128"/>
    </row>
    <row r="373">
      <c r="A373" s="128"/>
      <c r="B373" s="128"/>
      <c r="C373" s="128"/>
    </row>
    <row r="374">
      <c r="A374" s="128"/>
      <c r="B374" s="128"/>
      <c r="C374" s="128"/>
    </row>
    <row r="375">
      <c r="A375" s="128"/>
      <c r="B375" s="128"/>
      <c r="C375" s="128"/>
    </row>
    <row r="376">
      <c r="A376" s="128"/>
      <c r="B376" s="128"/>
      <c r="C376" s="128"/>
    </row>
    <row r="377">
      <c r="A377" s="128"/>
      <c r="B377" s="128"/>
      <c r="C377" s="128"/>
    </row>
    <row r="378">
      <c r="A378" s="128"/>
      <c r="B378" s="128"/>
      <c r="C378" s="128"/>
    </row>
    <row r="379">
      <c r="A379" s="128"/>
      <c r="B379" s="128"/>
      <c r="C379" s="128"/>
    </row>
    <row r="380">
      <c r="A380" s="128"/>
      <c r="B380" s="128"/>
      <c r="C380" s="128"/>
    </row>
    <row r="381">
      <c r="A381" s="128"/>
      <c r="B381" s="128"/>
      <c r="C381" s="128"/>
    </row>
    <row r="382">
      <c r="A382" s="128"/>
      <c r="B382" s="128"/>
      <c r="C382" s="128"/>
    </row>
    <row r="383">
      <c r="A383" s="128"/>
      <c r="B383" s="128"/>
      <c r="C383" s="128"/>
    </row>
    <row r="384">
      <c r="A384" s="128"/>
      <c r="B384" s="128"/>
      <c r="C384" s="128"/>
    </row>
    <row r="385">
      <c r="A385" s="128"/>
      <c r="B385" s="128"/>
      <c r="C385" s="128"/>
    </row>
    <row r="386">
      <c r="A386" s="128"/>
      <c r="B386" s="128"/>
      <c r="C386" s="128"/>
    </row>
    <row r="387">
      <c r="A387" s="128"/>
      <c r="B387" s="128"/>
      <c r="C387" s="128"/>
    </row>
    <row r="388">
      <c r="A388" s="128"/>
      <c r="B388" s="128"/>
      <c r="C388" s="128"/>
    </row>
    <row r="389">
      <c r="A389" s="128"/>
      <c r="B389" s="128"/>
      <c r="C389" s="128"/>
    </row>
    <row r="390">
      <c r="A390" s="128"/>
      <c r="B390" s="128"/>
      <c r="C390" s="128"/>
    </row>
    <row r="391">
      <c r="A391" s="128"/>
      <c r="B391" s="128"/>
      <c r="C391" s="128"/>
    </row>
    <row r="392">
      <c r="A392" s="128"/>
      <c r="B392" s="128"/>
      <c r="C392" s="128"/>
    </row>
    <row r="393">
      <c r="A393" s="128"/>
      <c r="B393" s="128"/>
      <c r="C393" s="128"/>
    </row>
    <row r="394">
      <c r="A394" s="128"/>
      <c r="B394" s="128"/>
      <c r="C394" s="128"/>
    </row>
    <row r="395">
      <c r="A395" s="128"/>
      <c r="B395" s="128"/>
      <c r="C395" s="128"/>
    </row>
    <row r="396">
      <c r="A396" s="128"/>
      <c r="B396" s="128"/>
      <c r="C396" s="128"/>
    </row>
    <row r="397">
      <c r="A397" s="128"/>
      <c r="B397" s="128"/>
      <c r="C397" s="128"/>
    </row>
    <row r="398">
      <c r="A398" s="128"/>
      <c r="B398" s="128"/>
      <c r="C398" s="128"/>
    </row>
    <row r="399">
      <c r="A399" s="128"/>
      <c r="B399" s="128"/>
      <c r="C399" s="128"/>
    </row>
    <row r="400">
      <c r="A400" s="128"/>
      <c r="B400" s="128"/>
      <c r="C400" s="128"/>
    </row>
    <row r="401">
      <c r="A401" s="128"/>
      <c r="B401" s="128"/>
      <c r="C401" s="128"/>
    </row>
    <row r="402">
      <c r="A402" s="128"/>
      <c r="B402" s="128"/>
      <c r="C402" s="128"/>
    </row>
    <row r="403">
      <c r="A403" s="128"/>
      <c r="B403" s="128"/>
      <c r="C403" s="128"/>
    </row>
    <row r="404">
      <c r="A404" s="128"/>
      <c r="B404" s="128"/>
      <c r="C404" s="128"/>
    </row>
    <row r="405">
      <c r="A405" s="128"/>
      <c r="B405" s="128"/>
      <c r="C405" s="128"/>
    </row>
    <row r="406">
      <c r="A406" s="128"/>
      <c r="B406" s="128"/>
      <c r="C406" s="128"/>
    </row>
    <row r="407">
      <c r="A407" s="128"/>
      <c r="B407" s="128"/>
      <c r="C407" s="128"/>
    </row>
    <row r="408">
      <c r="A408" s="128"/>
      <c r="B408" s="128"/>
      <c r="C408" s="128"/>
    </row>
    <row r="409">
      <c r="A409" s="128"/>
      <c r="B409" s="128"/>
      <c r="C409" s="128"/>
    </row>
    <row r="410">
      <c r="A410" s="128"/>
      <c r="B410" s="128"/>
      <c r="C410" s="128"/>
    </row>
    <row r="411">
      <c r="A411" s="128"/>
      <c r="B411" s="128"/>
      <c r="C411" s="128"/>
    </row>
    <row r="412">
      <c r="A412" s="128"/>
      <c r="B412" s="128"/>
      <c r="C412" s="128"/>
    </row>
    <row r="413">
      <c r="A413" s="128"/>
      <c r="B413" s="128"/>
      <c r="C413" s="128"/>
    </row>
    <row r="414">
      <c r="A414" s="128"/>
      <c r="B414" s="128"/>
      <c r="C414" s="128"/>
    </row>
    <row r="415">
      <c r="A415" s="128"/>
      <c r="B415" s="128"/>
      <c r="C415" s="128"/>
    </row>
    <row r="416">
      <c r="A416" s="128"/>
      <c r="B416" s="128"/>
      <c r="C416" s="128"/>
    </row>
    <row r="417">
      <c r="A417" s="128"/>
      <c r="B417" s="128"/>
      <c r="C417" s="128"/>
    </row>
    <row r="418">
      <c r="A418" s="128"/>
      <c r="B418" s="128"/>
      <c r="C418" s="128"/>
    </row>
    <row r="419">
      <c r="A419" s="128"/>
      <c r="B419" s="128"/>
      <c r="C419" s="128"/>
    </row>
    <row r="420">
      <c r="A420" s="128"/>
      <c r="B420" s="128"/>
      <c r="C420" s="128"/>
    </row>
    <row r="421">
      <c r="A421" s="128"/>
      <c r="B421" s="128"/>
      <c r="C421" s="128"/>
    </row>
    <row r="422">
      <c r="A422" s="128"/>
      <c r="B422" s="128"/>
      <c r="C422" s="128"/>
    </row>
    <row r="423">
      <c r="A423" s="128"/>
      <c r="B423" s="128"/>
      <c r="C423" s="128"/>
    </row>
    <row r="424">
      <c r="A424" s="128"/>
      <c r="B424" s="128"/>
      <c r="C424" s="128"/>
    </row>
    <row r="425">
      <c r="A425" s="128"/>
      <c r="B425" s="128"/>
      <c r="C425" s="128"/>
    </row>
    <row r="426">
      <c r="A426" s="128"/>
      <c r="B426" s="128"/>
      <c r="C426" s="128"/>
    </row>
    <row r="427">
      <c r="A427" s="128"/>
      <c r="B427" s="128"/>
      <c r="C427" s="128"/>
    </row>
    <row r="428">
      <c r="A428" s="128"/>
      <c r="B428" s="128"/>
      <c r="C428" s="128"/>
    </row>
    <row r="429">
      <c r="A429" s="128"/>
      <c r="B429" s="128"/>
      <c r="C429" s="128"/>
    </row>
    <row r="430">
      <c r="A430" s="128"/>
      <c r="B430" s="128"/>
      <c r="C430" s="128"/>
    </row>
    <row r="431">
      <c r="A431" s="128"/>
      <c r="B431" s="128"/>
      <c r="C431" s="128"/>
    </row>
    <row r="432">
      <c r="A432" s="128"/>
      <c r="B432" s="128"/>
      <c r="C432" s="128"/>
    </row>
    <row r="433">
      <c r="A433" s="128"/>
      <c r="B433" s="128"/>
      <c r="C433" s="128"/>
    </row>
    <row r="434">
      <c r="A434" s="128"/>
      <c r="B434" s="128"/>
      <c r="C434" s="128"/>
    </row>
    <row r="435">
      <c r="A435" s="128"/>
      <c r="B435" s="128"/>
      <c r="C435" s="128"/>
    </row>
    <row r="436">
      <c r="A436" s="128"/>
      <c r="B436" s="128"/>
      <c r="C436" s="128"/>
    </row>
    <row r="437">
      <c r="A437" s="128"/>
      <c r="B437" s="128"/>
      <c r="C437" s="128"/>
    </row>
    <row r="438">
      <c r="A438" s="128"/>
      <c r="B438" s="128"/>
      <c r="C438" s="128"/>
    </row>
    <row r="439">
      <c r="A439" s="128"/>
      <c r="B439" s="128"/>
      <c r="C439" s="128"/>
    </row>
    <row r="440">
      <c r="A440" s="128"/>
      <c r="B440" s="128"/>
      <c r="C440" s="128"/>
    </row>
    <row r="441">
      <c r="A441" s="128"/>
      <c r="B441" s="128"/>
      <c r="C441" s="128"/>
    </row>
    <row r="442">
      <c r="A442" s="128"/>
      <c r="B442" s="128"/>
      <c r="C442" s="128"/>
    </row>
    <row r="443">
      <c r="A443" s="128"/>
      <c r="B443" s="128"/>
      <c r="C443" s="128"/>
    </row>
    <row r="444">
      <c r="A444" s="128"/>
      <c r="B444" s="128"/>
      <c r="C444" s="128"/>
    </row>
    <row r="445">
      <c r="A445" s="128"/>
      <c r="B445" s="128"/>
      <c r="C445" s="128"/>
    </row>
    <row r="446">
      <c r="A446" s="128"/>
      <c r="B446" s="128"/>
      <c r="C446" s="128"/>
    </row>
    <row r="447">
      <c r="A447" s="128"/>
      <c r="B447" s="128"/>
      <c r="C447" s="128"/>
    </row>
    <row r="448">
      <c r="A448" s="128"/>
      <c r="B448" s="128"/>
      <c r="C448" s="128"/>
    </row>
    <row r="449">
      <c r="A449" s="128"/>
      <c r="B449" s="128"/>
      <c r="C449" s="128"/>
    </row>
    <row r="450">
      <c r="A450" s="128"/>
      <c r="B450" s="128"/>
      <c r="C450" s="128"/>
    </row>
    <row r="451">
      <c r="A451" s="128"/>
      <c r="B451" s="128"/>
      <c r="C451" s="128"/>
    </row>
    <row r="452">
      <c r="A452" s="128"/>
      <c r="B452" s="128"/>
      <c r="C452" s="128"/>
    </row>
    <row r="453">
      <c r="A453" s="128"/>
      <c r="B453" s="128"/>
      <c r="C453" s="128"/>
    </row>
    <row r="454">
      <c r="A454" s="128"/>
      <c r="B454" s="128"/>
      <c r="C454" s="128"/>
    </row>
    <row r="455">
      <c r="A455" s="128"/>
      <c r="B455" s="128"/>
      <c r="C455" s="128"/>
    </row>
    <row r="456">
      <c r="A456" s="128"/>
      <c r="B456" s="128"/>
      <c r="C456" s="128"/>
    </row>
    <row r="457">
      <c r="A457" s="128"/>
      <c r="B457" s="128"/>
      <c r="C457" s="128"/>
    </row>
    <row r="458">
      <c r="A458" s="128"/>
      <c r="B458" s="128"/>
      <c r="C458" s="128"/>
    </row>
    <row r="459">
      <c r="A459" s="128"/>
      <c r="B459" s="128"/>
      <c r="C459" s="128"/>
    </row>
    <row r="460">
      <c r="A460" s="128"/>
      <c r="B460" s="128"/>
      <c r="C460" s="128"/>
    </row>
    <row r="461">
      <c r="A461" s="128"/>
      <c r="B461" s="128"/>
      <c r="C461" s="128"/>
    </row>
    <row r="462">
      <c r="A462" s="128"/>
      <c r="B462" s="128"/>
      <c r="C462" s="128"/>
    </row>
    <row r="463">
      <c r="A463" s="128"/>
      <c r="B463" s="128"/>
      <c r="C463" s="128"/>
    </row>
    <row r="464">
      <c r="A464" s="128"/>
      <c r="B464" s="128"/>
      <c r="C464" s="128"/>
    </row>
    <row r="465">
      <c r="A465" s="128"/>
      <c r="B465" s="128"/>
      <c r="C465" s="128"/>
    </row>
    <row r="466">
      <c r="A466" s="128"/>
      <c r="B466" s="128"/>
      <c r="C466" s="128"/>
    </row>
    <row r="467">
      <c r="A467" s="128"/>
      <c r="B467" s="128"/>
      <c r="C467" s="128"/>
    </row>
    <row r="468">
      <c r="A468" s="128"/>
      <c r="B468" s="128"/>
      <c r="C468" s="128"/>
    </row>
    <row r="469">
      <c r="A469" s="128"/>
      <c r="B469" s="128"/>
      <c r="C469" s="128"/>
    </row>
    <row r="470">
      <c r="A470" s="128"/>
      <c r="B470" s="128"/>
      <c r="C470" s="128"/>
    </row>
    <row r="471">
      <c r="A471" s="128"/>
      <c r="B471" s="128"/>
      <c r="C471" s="128"/>
    </row>
    <row r="472">
      <c r="A472" s="128"/>
      <c r="B472" s="128"/>
      <c r="C472" s="128"/>
    </row>
    <row r="473">
      <c r="A473" s="128"/>
      <c r="B473" s="128"/>
      <c r="C473" s="128"/>
    </row>
    <row r="474">
      <c r="A474" s="128"/>
      <c r="B474" s="128"/>
      <c r="C474" s="128"/>
    </row>
    <row r="475">
      <c r="A475" s="128"/>
      <c r="B475" s="128"/>
      <c r="C475" s="128"/>
    </row>
    <row r="476">
      <c r="A476" s="128"/>
      <c r="B476" s="128"/>
      <c r="C476" s="128"/>
    </row>
    <row r="477">
      <c r="A477" s="128"/>
      <c r="B477" s="128"/>
      <c r="C477" s="128"/>
    </row>
    <row r="478">
      <c r="A478" s="128"/>
      <c r="B478" s="128"/>
      <c r="C478" s="128"/>
    </row>
    <row r="479">
      <c r="A479" s="128"/>
      <c r="B479" s="128"/>
      <c r="C479" s="128"/>
    </row>
    <row r="480">
      <c r="A480" s="128"/>
      <c r="B480" s="128"/>
      <c r="C480" s="128"/>
    </row>
    <row r="481">
      <c r="A481" s="128"/>
      <c r="B481" s="128"/>
      <c r="C481" s="128"/>
    </row>
    <row r="482">
      <c r="A482" s="128"/>
      <c r="B482" s="128"/>
      <c r="C482" s="128"/>
    </row>
    <row r="483">
      <c r="A483" s="128"/>
      <c r="B483" s="128"/>
      <c r="C483" s="128"/>
    </row>
    <row r="484">
      <c r="A484" s="128"/>
      <c r="B484" s="128"/>
      <c r="C484" s="128"/>
    </row>
    <row r="485">
      <c r="A485" s="128"/>
      <c r="B485" s="128"/>
      <c r="C485" s="128"/>
    </row>
    <row r="486">
      <c r="A486" s="128"/>
      <c r="B486" s="128"/>
      <c r="C486" s="128"/>
    </row>
    <row r="487">
      <c r="A487" s="128"/>
      <c r="B487" s="128"/>
      <c r="C487" s="128"/>
    </row>
    <row r="488">
      <c r="A488" s="128"/>
      <c r="B488" s="128"/>
      <c r="C488" s="128"/>
    </row>
    <row r="489">
      <c r="A489" s="128"/>
      <c r="B489" s="128"/>
      <c r="C489" s="128"/>
    </row>
    <row r="490">
      <c r="A490" s="128"/>
      <c r="B490" s="128"/>
      <c r="C490" s="128"/>
    </row>
    <row r="491">
      <c r="A491" s="128"/>
      <c r="B491" s="128"/>
      <c r="C491" s="128"/>
    </row>
    <row r="492">
      <c r="A492" s="128"/>
      <c r="B492" s="128"/>
      <c r="C492" s="128"/>
    </row>
    <row r="493">
      <c r="A493" s="128"/>
      <c r="B493" s="128"/>
      <c r="C493" s="128"/>
    </row>
    <row r="494">
      <c r="A494" s="128"/>
      <c r="B494" s="128"/>
      <c r="C494" s="128"/>
    </row>
    <row r="495">
      <c r="A495" s="128"/>
      <c r="B495" s="128"/>
      <c r="C495" s="128"/>
    </row>
    <row r="496">
      <c r="A496" s="128"/>
      <c r="B496" s="128"/>
      <c r="C496" s="128"/>
    </row>
    <row r="497">
      <c r="A497" s="128"/>
      <c r="B497" s="128"/>
      <c r="C497" s="128"/>
    </row>
    <row r="498">
      <c r="A498" s="128"/>
      <c r="B498" s="128"/>
      <c r="C498" s="128"/>
    </row>
    <row r="499">
      <c r="A499" s="128"/>
      <c r="B499" s="128"/>
      <c r="C499" s="128"/>
    </row>
    <row r="500">
      <c r="A500" s="128"/>
      <c r="B500" s="128"/>
      <c r="C500" s="128"/>
    </row>
    <row r="501">
      <c r="A501" s="128"/>
      <c r="B501" s="128"/>
      <c r="C501" s="128"/>
    </row>
    <row r="502">
      <c r="A502" s="128"/>
      <c r="B502" s="128"/>
      <c r="C502" s="128"/>
    </row>
    <row r="503">
      <c r="A503" s="128"/>
      <c r="B503" s="128"/>
      <c r="C503" s="128"/>
    </row>
    <row r="504">
      <c r="A504" s="128"/>
      <c r="B504" s="128"/>
      <c r="C504" s="128"/>
    </row>
    <row r="505">
      <c r="A505" s="128"/>
      <c r="B505" s="128"/>
      <c r="C505" s="128"/>
    </row>
    <row r="506">
      <c r="A506" s="128"/>
      <c r="B506" s="128"/>
      <c r="C506" s="128"/>
    </row>
    <row r="507">
      <c r="A507" s="128"/>
      <c r="B507" s="128"/>
      <c r="C507" s="128"/>
    </row>
    <row r="508">
      <c r="A508" s="128"/>
      <c r="B508" s="128"/>
      <c r="C508" s="128"/>
    </row>
    <row r="509">
      <c r="A509" s="128"/>
      <c r="B509" s="128"/>
      <c r="C509" s="128"/>
    </row>
    <row r="510">
      <c r="A510" s="128"/>
      <c r="B510" s="128"/>
      <c r="C510" s="128"/>
    </row>
    <row r="511">
      <c r="A511" s="128"/>
      <c r="B511" s="128"/>
      <c r="C511" s="128"/>
    </row>
    <row r="512">
      <c r="A512" s="128"/>
      <c r="B512" s="128"/>
      <c r="C512" s="128"/>
    </row>
    <row r="513">
      <c r="A513" s="128"/>
      <c r="B513" s="128"/>
      <c r="C513" s="128"/>
    </row>
    <row r="514">
      <c r="A514" s="128"/>
      <c r="B514" s="128"/>
      <c r="C514" s="128"/>
    </row>
    <row r="515">
      <c r="A515" s="128"/>
      <c r="B515" s="128"/>
      <c r="C515" s="128"/>
    </row>
    <row r="516">
      <c r="A516" s="128"/>
      <c r="B516" s="128"/>
      <c r="C516" s="128"/>
    </row>
    <row r="517">
      <c r="A517" s="128"/>
      <c r="B517" s="128"/>
      <c r="C517" s="128"/>
    </row>
    <row r="518">
      <c r="A518" s="128"/>
      <c r="B518" s="128"/>
      <c r="C518" s="128"/>
    </row>
    <row r="519">
      <c r="A519" s="128"/>
      <c r="B519" s="128"/>
      <c r="C519" s="128"/>
    </row>
    <row r="520">
      <c r="A520" s="128"/>
      <c r="B520" s="128"/>
      <c r="C520" s="128"/>
    </row>
    <row r="521">
      <c r="A521" s="128"/>
      <c r="B521" s="128"/>
      <c r="C521" s="128"/>
    </row>
    <row r="522">
      <c r="A522" s="128"/>
      <c r="B522" s="128"/>
      <c r="C522" s="128"/>
    </row>
    <row r="523">
      <c r="A523" s="128"/>
      <c r="B523" s="128"/>
      <c r="C523" s="128"/>
    </row>
    <row r="524">
      <c r="A524" s="128"/>
      <c r="B524" s="128"/>
      <c r="C524" s="128"/>
    </row>
    <row r="525">
      <c r="A525" s="128"/>
      <c r="B525" s="128"/>
      <c r="C525" s="128"/>
    </row>
    <row r="526">
      <c r="A526" s="128"/>
      <c r="B526" s="128"/>
      <c r="C526" s="128"/>
    </row>
    <row r="527">
      <c r="A527" s="128"/>
      <c r="B527" s="128"/>
      <c r="C527" s="128"/>
    </row>
    <row r="528">
      <c r="A528" s="128"/>
      <c r="B528" s="128"/>
      <c r="C528" s="128"/>
    </row>
    <row r="529">
      <c r="A529" s="128"/>
      <c r="B529" s="128"/>
      <c r="C529" s="128"/>
    </row>
    <row r="530">
      <c r="A530" s="128"/>
      <c r="B530" s="128"/>
      <c r="C530" s="128"/>
    </row>
    <row r="531">
      <c r="A531" s="128"/>
      <c r="B531" s="128"/>
      <c r="C531" s="128"/>
    </row>
    <row r="532">
      <c r="A532" s="128"/>
      <c r="B532" s="128"/>
      <c r="C532" s="128"/>
    </row>
    <row r="533">
      <c r="A533" s="128"/>
      <c r="B533" s="128"/>
      <c r="C533" s="128"/>
    </row>
    <row r="534">
      <c r="A534" s="128"/>
      <c r="B534" s="128"/>
      <c r="C534" s="128"/>
    </row>
    <row r="535">
      <c r="A535" s="128"/>
      <c r="B535" s="128"/>
      <c r="C535" s="128"/>
    </row>
    <row r="536">
      <c r="A536" s="128"/>
      <c r="B536" s="128"/>
      <c r="C536" s="128"/>
    </row>
    <row r="537">
      <c r="A537" s="128"/>
      <c r="B537" s="128"/>
      <c r="C537" s="128"/>
    </row>
    <row r="538">
      <c r="A538" s="128"/>
      <c r="B538" s="128"/>
      <c r="C538" s="128"/>
    </row>
    <row r="539">
      <c r="A539" s="128"/>
      <c r="B539" s="128"/>
      <c r="C539" s="128"/>
    </row>
    <row r="540">
      <c r="A540" s="128"/>
      <c r="B540" s="128"/>
      <c r="C540" s="128"/>
    </row>
    <row r="541">
      <c r="A541" s="128"/>
      <c r="B541" s="128"/>
      <c r="C541" s="128"/>
    </row>
    <row r="542">
      <c r="A542" s="128"/>
      <c r="B542" s="128"/>
      <c r="C542" s="128"/>
    </row>
    <row r="543">
      <c r="A543" s="128"/>
      <c r="B543" s="128"/>
      <c r="C543" s="128"/>
    </row>
    <row r="544">
      <c r="A544" s="128"/>
      <c r="B544" s="128"/>
      <c r="C544" s="128"/>
    </row>
    <row r="545">
      <c r="A545" s="128"/>
      <c r="B545" s="128"/>
      <c r="C545" s="128"/>
    </row>
    <row r="546">
      <c r="A546" s="128"/>
      <c r="B546" s="128"/>
      <c r="C546" s="128"/>
    </row>
    <row r="547">
      <c r="A547" s="128"/>
      <c r="B547" s="128"/>
      <c r="C547" s="128"/>
    </row>
    <row r="548">
      <c r="A548" s="128"/>
      <c r="B548" s="128"/>
      <c r="C548" s="128"/>
    </row>
    <row r="549">
      <c r="A549" s="128"/>
      <c r="B549" s="128"/>
      <c r="C549" s="128"/>
    </row>
    <row r="550">
      <c r="A550" s="128"/>
      <c r="B550" s="128"/>
      <c r="C550" s="128"/>
    </row>
    <row r="551">
      <c r="A551" s="128"/>
      <c r="B551" s="128"/>
      <c r="C551" s="128"/>
    </row>
    <row r="552">
      <c r="A552" s="128"/>
      <c r="B552" s="128"/>
      <c r="C552" s="128"/>
    </row>
    <row r="553">
      <c r="A553" s="128"/>
      <c r="B553" s="128"/>
      <c r="C553" s="128"/>
    </row>
    <row r="554">
      <c r="A554" s="128"/>
      <c r="B554" s="128"/>
      <c r="C554" s="128"/>
    </row>
    <row r="555">
      <c r="A555" s="128"/>
      <c r="B555" s="128"/>
      <c r="C555" s="128"/>
    </row>
    <row r="556">
      <c r="A556" s="128"/>
      <c r="B556" s="128"/>
      <c r="C556" s="128"/>
    </row>
    <row r="557">
      <c r="A557" s="128"/>
      <c r="B557" s="128"/>
      <c r="C557" s="128"/>
    </row>
    <row r="558">
      <c r="A558" s="128"/>
      <c r="B558" s="128"/>
      <c r="C558" s="128"/>
    </row>
    <row r="559">
      <c r="A559" s="128"/>
      <c r="B559" s="128"/>
      <c r="C559" s="128"/>
    </row>
    <row r="560">
      <c r="A560" s="128"/>
      <c r="B560" s="128"/>
      <c r="C560" s="128"/>
    </row>
    <row r="561">
      <c r="A561" s="128"/>
      <c r="B561" s="128"/>
      <c r="C561" s="128"/>
    </row>
    <row r="562">
      <c r="A562" s="128"/>
      <c r="B562" s="128"/>
      <c r="C562" s="128"/>
    </row>
    <row r="563">
      <c r="A563" s="128"/>
      <c r="B563" s="128"/>
      <c r="C563" s="128"/>
    </row>
    <row r="564">
      <c r="A564" s="128"/>
      <c r="B564" s="128"/>
      <c r="C564" s="128"/>
    </row>
    <row r="565">
      <c r="A565" s="128"/>
      <c r="B565" s="128"/>
      <c r="C565" s="128"/>
    </row>
    <row r="566">
      <c r="A566" s="128"/>
      <c r="B566" s="128"/>
      <c r="C566" s="128"/>
    </row>
    <row r="567">
      <c r="A567" s="128"/>
      <c r="B567" s="128"/>
      <c r="C567" s="128"/>
    </row>
    <row r="568">
      <c r="A568" s="128"/>
      <c r="B568" s="128"/>
      <c r="C568" s="128"/>
    </row>
    <row r="569">
      <c r="A569" s="128"/>
      <c r="B569" s="128"/>
      <c r="C569" s="128"/>
    </row>
    <row r="570">
      <c r="A570" s="128"/>
      <c r="B570" s="128"/>
      <c r="C570" s="128"/>
    </row>
    <row r="571">
      <c r="A571" s="128"/>
      <c r="B571" s="128"/>
      <c r="C571" s="128"/>
    </row>
    <row r="572">
      <c r="A572" s="128"/>
      <c r="B572" s="128"/>
      <c r="C572" s="128"/>
    </row>
    <row r="573">
      <c r="A573" s="128"/>
      <c r="B573" s="128"/>
      <c r="C573" s="128"/>
    </row>
    <row r="574">
      <c r="A574" s="128"/>
      <c r="B574" s="128"/>
      <c r="C574" s="128"/>
    </row>
    <row r="575">
      <c r="A575" s="128"/>
      <c r="B575" s="128"/>
      <c r="C575" s="128"/>
    </row>
    <row r="576">
      <c r="A576" s="128"/>
      <c r="B576" s="128"/>
      <c r="C576" s="128"/>
    </row>
    <row r="577">
      <c r="A577" s="128"/>
      <c r="B577" s="128"/>
      <c r="C577" s="128"/>
    </row>
    <row r="578">
      <c r="A578" s="128"/>
      <c r="B578" s="128"/>
      <c r="C578" s="128"/>
    </row>
    <row r="579">
      <c r="A579" s="128"/>
      <c r="B579" s="128"/>
      <c r="C579" s="128"/>
    </row>
    <row r="580">
      <c r="A580" s="128"/>
      <c r="B580" s="128"/>
      <c r="C580" s="128"/>
    </row>
    <row r="581">
      <c r="A581" s="128"/>
      <c r="B581" s="128"/>
      <c r="C581" s="128"/>
    </row>
    <row r="582">
      <c r="A582" s="128"/>
      <c r="B582" s="128"/>
      <c r="C582" s="128"/>
    </row>
    <row r="583">
      <c r="A583" s="128"/>
      <c r="B583" s="128"/>
      <c r="C583" s="128"/>
    </row>
    <row r="584">
      <c r="A584" s="128"/>
      <c r="B584" s="128"/>
      <c r="C584" s="128"/>
    </row>
    <row r="585">
      <c r="A585" s="128"/>
      <c r="B585" s="128"/>
      <c r="C585" s="128"/>
    </row>
    <row r="586">
      <c r="A586" s="128"/>
      <c r="B586" s="128"/>
      <c r="C586" s="128"/>
    </row>
    <row r="587">
      <c r="A587" s="128"/>
      <c r="B587" s="128"/>
      <c r="C587" s="128"/>
    </row>
    <row r="588">
      <c r="A588" s="128"/>
      <c r="B588" s="128"/>
      <c r="C588" s="128"/>
    </row>
    <row r="589">
      <c r="A589" s="128"/>
      <c r="B589" s="128"/>
      <c r="C589" s="128"/>
    </row>
    <row r="590">
      <c r="A590" s="128"/>
      <c r="B590" s="128"/>
      <c r="C590" s="128"/>
    </row>
    <row r="591">
      <c r="A591" s="128"/>
      <c r="B591" s="128"/>
      <c r="C591" s="128"/>
    </row>
    <row r="592">
      <c r="A592" s="128"/>
      <c r="B592" s="128"/>
      <c r="C592" s="128"/>
    </row>
    <row r="593">
      <c r="A593" s="128"/>
      <c r="B593" s="128"/>
      <c r="C593" s="128"/>
    </row>
    <row r="594">
      <c r="A594" s="128"/>
      <c r="B594" s="128"/>
      <c r="C594" s="128"/>
    </row>
    <row r="595">
      <c r="A595" s="128"/>
      <c r="B595" s="128"/>
      <c r="C595" s="128"/>
    </row>
    <row r="596">
      <c r="A596" s="128"/>
      <c r="B596" s="128"/>
      <c r="C596" s="128"/>
    </row>
    <row r="597">
      <c r="A597" s="128"/>
      <c r="B597" s="128"/>
      <c r="C597" s="128"/>
    </row>
    <row r="598">
      <c r="A598" s="128"/>
      <c r="B598" s="128"/>
      <c r="C598" s="128"/>
    </row>
    <row r="599">
      <c r="A599" s="128"/>
      <c r="B599" s="128"/>
      <c r="C599" s="128"/>
    </row>
    <row r="600">
      <c r="A600" s="128"/>
      <c r="B600" s="128"/>
      <c r="C600" s="128"/>
    </row>
    <row r="601">
      <c r="A601" s="128"/>
      <c r="B601" s="128"/>
      <c r="C601" s="128"/>
    </row>
    <row r="602">
      <c r="A602" s="128"/>
      <c r="B602" s="128"/>
      <c r="C602" s="128"/>
    </row>
    <row r="603">
      <c r="A603" s="128"/>
      <c r="B603" s="128"/>
      <c r="C603" s="128"/>
    </row>
    <row r="604">
      <c r="A604" s="128"/>
      <c r="B604" s="128"/>
      <c r="C604" s="128"/>
    </row>
    <row r="605">
      <c r="A605" s="128"/>
      <c r="B605" s="128"/>
      <c r="C605" s="128"/>
    </row>
    <row r="606">
      <c r="A606" s="128"/>
      <c r="B606" s="128"/>
      <c r="C606" s="128"/>
    </row>
    <row r="607">
      <c r="A607" s="128"/>
      <c r="B607" s="128"/>
      <c r="C607" s="128"/>
    </row>
    <row r="608">
      <c r="A608" s="128"/>
      <c r="B608" s="128"/>
      <c r="C608" s="128"/>
    </row>
    <row r="609">
      <c r="A609" s="128"/>
      <c r="B609" s="128"/>
      <c r="C609" s="128"/>
    </row>
    <row r="610">
      <c r="A610" s="128"/>
      <c r="B610" s="128"/>
      <c r="C610" s="128"/>
    </row>
    <row r="611">
      <c r="A611" s="128"/>
      <c r="B611" s="128"/>
      <c r="C611" s="128"/>
    </row>
    <row r="612">
      <c r="A612" s="128"/>
      <c r="B612" s="128"/>
      <c r="C612" s="128"/>
    </row>
    <row r="613">
      <c r="A613" s="128"/>
      <c r="B613" s="128"/>
      <c r="C613" s="128"/>
    </row>
    <row r="614">
      <c r="A614" s="128"/>
      <c r="B614" s="128"/>
      <c r="C614" s="128"/>
    </row>
    <row r="615">
      <c r="A615" s="128"/>
      <c r="B615" s="128"/>
      <c r="C615" s="128"/>
    </row>
    <row r="616">
      <c r="A616" s="128"/>
      <c r="B616" s="128"/>
      <c r="C616" s="128"/>
    </row>
    <row r="617">
      <c r="A617" s="128"/>
      <c r="B617" s="128"/>
      <c r="C617" s="128"/>
    </row>
    <row r="618">
      <c r="A618" s="128"/>
      <c r="B618" s="128"/>
      <c r="C618" s="128"/>
    </row>
    <row r="619">
      <c r="A619" s="128"/>
      <c r="B619" s="128"/>
      <c r="C619" s="128"/>
    </row>
    <row r="620">
      <c r="A620" s="128"/>
      <c r="B620" s="128"/>
      <c r="C620" s="128"/>
    </row>
    <row r="621">
      <c r="A621" s="128"/>
      <c r="B621" s="128"/>
      <c r="C621" s="128"/>
    </row>
    <row r="622">
      <c r="A622" s="128"/>
      <c r="B622" s="128"/>
      <c r="C622" s="128"/>
    </row>
    <row r="623">
      <c r="A623" s="128"/>
      <c r="B623" s="128"/>
      <c r="C623" s="128"/>
    </row>
    <row r="624">
      <c r="A624" s="128"/>
      <c r="B624" s="128"/>
      <c r="C624" s="128"/>
    </row>
    <row r="625">
      <c r="A625" s="128"/>
      <c r="B625" s="128"/>
      <c r="C625" s="128"/>
    </row>
    <row r="626">
      <c r="A626" s="128"/>
      <c r="B626" s="128"/>
      <c r="C626" s="128"/>
    </row>
    <row r="627">
      <c r="A627" s="128"/>
      <c r="B627" s="128"/>
      <c r="C627" s="128"/>
    </row>
    <row r="628">
      <c r="A628" s="128"/>
      <c r="B628" s="128"/>
      <c r="C628" s="128"/>
    </row>
    <row r="629">
      <c r="A629" s="128"/>
      <c r="B629" s="128"/>
      <c r="C629" s="128"/>
    </row>
    <row r="630">
      <c r="A630" s="128"/>
      <c r="B630" s="128"/>
      <c r="C630" s="128"/>
    </row>
    <row r="631">
      <c r="A631" s="128"/>
      <c r="B631" s="128"/>
      <c r="C631" s="128"/>
    </row>
    <row r="632">
      <c r="A632" s="128"/>
      <c r="B632" s="128"/>
      <c r="C632" s="128"/>
    </row>
    <row r="633">
      <c r="A633" s="128"/>
      <c r="B633" s="128"/>
      <c r="C633" s="128"/>
    </row>
    <row r="634">
      <c r="A634" s="128"/>
      <c r="B634" s="128"/>
      <c r="C634" s="128"/>
    </row>
    <row r="635">
      <c r="A635" s="128"/>
      <c r="B635" s="128"/>
      <c r="C635" s="128"/>
    </row>
    <row r="636">
      <c r="A636" s="128"/>
      <c r="B636" s="128"/>
      <c r="C636" s="128"/>
    </row>
    <row r="637">
      <c r="A637" s="128"/>
      <c r="B637" s="128"/>
      <c r="C637" s="128"/>
    </row>
    <row r="638">
      <c r="A638" s="128"/>
      <c r="B638" s="128"/>
      <c r="C638" s="128"/>
    </row>
    <row r="639">
      <c r="A639" s="128"/>
      <c r="B639" s="128"/>
      <c r="C639" s="128"/>
    </row>
    <row r="640">
      <c r="A640" s="128"/>
      <c r="B640" s="128"/>
      <c r="C640" s="128"/>
    </row>
    <row r="641">
      <c r="A641" s="128"/>
      <c r="B641" s="128"/>
      <c r="C641" s="128"/>
    </row>
    <row r="642">
      <c r="A642" s="128"/>
      <c r="B642" s="128"/>
      <c r="C642" s="128"/>
    </row>
    <row r="643">
      <c r="A643" s="128"/>
      <c r="B643" s="128"/>
      <c r="C643" s="128"/>
    </row>
    <row r="644">
      <c r="A644" s="128"/>
      <c r="B644" s="128"/>
      <c r="C644" s="128"/>
    </row>
    <row r="645">
      <c r="A645" s="128"/>
      <c r="B645" s="128"/>
      <c r="C645" s="128"/>
    </row>
    <row r="646">
      <c r="A646" s="128"/>
      <c r="B646" s="128"/>
      <c r="C646" s="128"/>
    </row>
    <row r="647">
      <c r="A647" s="128"/>
      <c r="B647" s="128"/>
      <c r="C647" s="128"/>
    </row>
    <row r="648">
      <c r="A648" s="128"/>
      <c r="B648" s="128"/>
      <c r="C648" s="128"/>
    </row>
    <row r="649">
      <c r="A649" s="128"/>
      <c r="B649" s="128"/>
      <c r="C649" s="128"/>
    </row>
    <row r="650">
      <c r="A650" s="128"/>
      <c r="B650" s="128"/>
      <c r="C650" s="128"/>
    </row>
    <row r="651">
      <c r="A651" s="128"/>
      <c r="B651" s="128"/>
      <c r="C651" s="128"/>
    </row>
    <row r="652">
      <c r="A652" s="128"/>
      <c r="B652" s="128"/>
      <c r="C652" s="128"/>
    </row>
    <row r="653">
      <c r="A653" s="128"/>
      <c r="B653" s="128"/>
      <c r="C653" s="128"/>
    </row>
    <row r="654">
      <c r="A654" s="128"/>
      <c r="B654" s="128"/>
      <c r="C654" s="128"/>
    </row>
    <row r="655">
      <c r="A655" s="128"/>
      <c r="B655" s="128"/>
      <c r="C655" s="128"/>
    </row>
    <row r="656">
      <c r="A656" s="128"/>
      <c r="B656" s="128"/>
      <c r="C656" s="128"/>
    </row>
    <row r="657">
      <c r="A657" s="128"/>
      <c r="B657" s="128"/>
      <c r="C657" s="128"/>
    </row>
    <row r="658">
      <c r="A658" s="128"/>
      <c r="B658" s="128"/>
      <c r="C658" s="128"/>
    </row>
    <row r="659">
      <c r="A659" s="128"/>
      <c r="B659" s="128"/>
      <c r="C659" s="128"/>
    </row>
    <row r="660">
      <c r="A660" s="128"/>
      <c r="B660" s="128"/>
      <c r="C660" s="128"/>
    </row>
    <row r="661">
      <c r="A661" s="128"/>
      <c r="B661" s="128"/>
      <c r="C661" s="128"/>
    </row>
    <row r="662">
      <c r="A662" s="128"/>
      <c r="B662" s="128"/>
      <c r="C662" s="128"/>
    </row>
    <row r="663">
      <c r="A663" s="128"/>
      <c r="B663" s="128"/>
      <c r="C663" s="128"/>
    </row>
    <row r="664">
      <c r="A664" s="128"/>
      <c r="B664" s="128"/>
      <c r="C664" s="128"/>
    </row>
    <row r="665">
      <c r="A665" s="128"/>
      <c r="B665" s="128"/>
      <c r="C665" s="128"/>
    </row>
    <row r="666">
      <c r="A666" s="128"/>
      <c r="B666" s="128"/>
      <c r="C666" s="128"/>
    </row>
    <row r="667">
      <c r="A667" s="128"/>
      <c r="B667" s="128"/>
      <c r="C667" s="128"/>
    </row>
    <row r="668">
      <c r="A668" s="128"/>
      <c r="B668" s="128"/>
      <c r="C668" s="128"/>
    </row>
    <row r="669">
      <c r="A669" s="128"/>
      <c r="B669" s="128"/>
      <c r="C669" s="128"/>
    </row>
    <row r="670">
      <c r="A670" s="128"/>
      <c r="B670" s="128"/>
      <c r="C670" s="128"/>
    </row>
    <row r="671">
      <c r="A671" s="128"/>
      <c r="B671" s="128"/>
      <c r="C671" s="128"/>
    </row>
    <row r="672">
      <c r="A672" s="128"/>
      <c r="B672" s="128"/>
      <c r="C672" s="128"/>
    </row>
    <row r="673">
      <c r="A673" s="128"/>
      <c r="B673" s="128"/>
      <c r="C673" s="128"/>
    </row>
    <row r="674">
      <c r="A674" s="128"/>
      <c r="B674" s="128"/>
      <c r="C674" s="128"/>
    </row>
    <row r="675">
      <c r="A675" s="128"/>
      <c r="B675" s="128"/>
      <c r="C675" s="128"/>
    </row>
    <row r="676">
      <c r="A676" s="128"/>
      <c r="B676" s="128"/>
      <c r="C676" s="128"/>
    </row>
    <row r="677">
      <c r="A677" s="128"/>
      <c r="B677" s="128"/>
      <c r="C677" s="128"/>
    </row>
    <row r="678">
      <c r="A678" s="128"/>
      <c r="B678" s="128"/>
      <c r="C678" s="128"/>
    </row>
    <row r="679">
      <c r="A679" s="128"/>
      <c r="B679" s="128"/>
      <c r="C679" s="128"/>
    </row>
    <row r="680">
      <c r="A680" s="128"/>
      <c r="B680" s="128"/>
      <c r="C680" s="128"/>
    </row>
    <row r="681">
      <c r="A681" s="128"/>
      <c r="B681" s="128"/>
      <c r="C681" s="128"/>
    </row>
    <row r="682">
      <c r="A682" s="128"/>
      <c r="B682" s="128"/>
      <c r="C682" s="128"/>
    </row>
    <row r="683">
      <c r="A683" s="128"/>
      <c r="B683" s="128"/>
      <c r="C683" s="128"/>
    </row>
    <row r="684">
      <c r="A684" s="128"/>
      <c r="B684" s="128"/>
      <c r="C684" s="128"/>
    </row>
    <row r="685">
      <c r="A685" s="128"/>
      <c r="B685" s="128"/>
      <c r="C685" s="128"/>
    </row>
    <row r="686">
      <c r="A686" s="128"/>
      <c r="B686" s="128"/>
      <c r="C686" s="128"/>
    </row>
    <row r="687">
      <c r="A687" s="128"/>
      <c r="B687" s="128"/>
      <c r="C687" s="128"/>
    </row>
    <row r="688">
      <c r="A688" s="128"/>
      <c r="B688" s="128"/>
      <c r="C688" s="128"/>
    </row>
    <row r="689">
      <c r="A689" s="128"/>
      <c r="B689" s="128"/>
      <c r="C689" s="128"/>
    </row>
    <row r="690">
      <c r="A690" s="128"/>
      <c r="B690" s="128"/>
      <c r="C690" s="128"/>
    </row>
    <row r="691">
      <c r="A691" s="128"/>
      <c r="B691" s="128"/>
      <c r="C691" s="128"/>
    </row>
    <row r="692">
      <c r="A692" s="128"/>
      <c r="B692" s="128"/>
      <c r="C692" s="128"/>
    </row>
    <row r="693">
      <c r="A693" s="128"/>
      <c r="B693" s="128"/>
      <c r="C693" s="128"/>
    </row>
    <row r="694">
      <c r="A694" s="128"/>
      <c r="B694" s="128"/>
      <c r="C694" s="128"/>
    </row>
    <row r="695">
      <c r="A695" s="128"/>
      <c r="B695" s="128"/>
      <c r="C695" s="128"/>
    </row>
    <row r="696">
      <c r="A696" s="128"/>
      <c r="B696" s="128"/>
      <c r="C696" s="128"/>
    </row>
    <row r="697">
      <c r="A697" s="128"/>
      <c r="B697" s="128"/>
      <c r="C697" s="128"/>
    </row>
    <row r="698">
      <c r="A698" s="128"/>
      <c r="B698" s="128"/>
      <c r="C698" s="128"/>
    </row>
    <row r="699">
      <c r="A699" s="128"/>
      <c r="B699" s="128"/>
      <c r="C699" s="128"/>
    </row>
    <row r="700">
      <c r="A700" s="128"/>
      <c r="B700" s="128"/>
      <c r="C700" s="128"/>
    </row>
    <row r="701">
      <c r="A701" s="128"/>
      <c r="B701" s="128"/>
      <c r="C701" s="128"/>
    </row>
    <row r="702">
      <c r="A702" s="128"/>
      <c r="B702" s="128"/>
      <c r="C702" s="128"/>
    </row>
    <row r="703">
      <c r="A703" s="128"/>
      <c r="B703" s="128"/>
      <c r="C703" s="128"/>
    </row>
    <row r="704">
      <c r="A704" s="128"/>
      <c r="B704" s="128"/>
      <c r="C704" s="128"/>
    </row>
    <row r="705">
      <c r="A705" s="128"/>
      <c r="B705" s="128"/>
      <c r="C705" s="128"/>
    </row>
    <row r="706">
      <c r="A706" s="128"/>
      <c r="B706" s="128"/>
      <c r="C706" s="128"/>
    </row>
    <row r="707">
      <c r="A707" s="128"/>
      <c r="B707" s="128"/>
      <c r="C707" s="128"/>
    </row>
    <row r="708">
      <c r="A708" s="128"/>
      <c r="B708" s="128"/>
      <c r="C708" s="128"/>
    </row>
    <row r="709">
      <c r="A709" s="128"/>
      <c r="B709" s="128"/>
      <c r="C709" s="128"/>
    </row>
    <row r="710">
      <c r="A710" s="128"/>
      <c r="B710" s="128"/>
      <c r="C710" s="128"/>
    </row>
    <row r="711">
      <c r="A711" s="128"/>
      <c r="B711" s="128"/>
      <c r="C711" s="128"/>
    </row>
    <row r="712">
      <c r="A712" s="128"/>
      <c r="B712" s="128"/>
      <c r="C712" s="128"/>
    </row>
    <row r="713">
      <c r="A713" s="128"/>
      <c r="B713" s="128"/>
      <c r="C713" s="128"/>
    </row>
    <row r="714">
      <c r="A714" s="128"/>
      <c r="B714" s="128"/>
      <c r="C714" s="128"/>
    </row>
    <row r="715">
      <c r="A715" s="128"/>
      <c r="B715" s="128"/>
      <c r="C715" s="128"/>
    </row>
    <row r="716">
      <c r="A716" s="128"/>
      <c r="B716" s="128"/>
      <c r="C716" s="128"/>
    </row>
    <row r="717">
      <c r="A717" s="128"/>
      <c r="B717" s="128"/>
      <c r="C717" s="128"/>
    </row>
    <row r="718">
      <c r="A718" s="128"/>
      <c r="B718" s="128"/>
      <c r="C718" s="128"/>
    </row>
    <row r="719">
      <c r="A719" s="128"/>
      <c r="B719" s="128"/>
      <c r="C719" s="128"/>
    </row>
    <row r="720">
      <c r="A720" s="128"/>
      <c r="B720" s="128"/>
      <c r="C720" s="128"/>
    </row>
    <row r="721">
      <c r="A721" s="128"/>
      <c r="B721" s="128"/>
      <c r="C721" s="128"/>
    </row>
    <row r="722">
      <c r="A722" s="128"/>
      <c r="B722" s="128"/>
      <c r="C722" s="128"/>
    </row>
    <row r="723">
      <c r="A723" s="128"/>
      <c r="B723" s="128"/>
      <c r="C723" s="128"/>
    </row>
    <row r="724">
      <c r="A724" s="128"/>
      <c r="B724" s="128"/>
      <c r="C724" s="128"/>
    </row>
    <row r="725">
      <c r="A725" s="128"/>
      <c r="B725" s="128"/>
      <c r="C725" s="128"/>
    </row>
    <row r="726">
      <c r="A726" s="128"/>
      <c r="B726" s="128"/>
      <c r="C726" s="128"/>
    </row>
    <row r="727">
      <c r="A727" s="128"/>
      <c r="B727" s="128"/>
      <c r="C727" s="128"/>
    </row>
    <row r="728">
      <c r="A728" s="128"/>
      <c r="B728" s="128"/>
      <c r="C728" s="128"/>
    </row>
    <row r="729">
      <c r="A729" s="128"/>
      <c r="B729" s="128"/>
      <c r="C729" s="128"/>
    </row>
    <row r="730">
      <c r="A730" s="128"/>
      <c r="B730" s="128"/>
      <c r="C730" s="128"/>
    </row>
    <row r="731">
      <c r="A731" s="128"/>
      <c r="B731" s="128"/>
      <c r="C731" s="128"/>
    </row>
    <row r="732">
      <c r="A732" s="128"/>
      <c r="B732" s="128"/>
      <c r="C732" s="128"/>
    </row>
    <row r="733">
      <c r="A733" s="128"/>
      <c r="B733" s="128"/>
      <c r="C733" s="128"/>
    </row>
    <row r="734">
      <c r="A734" s="128"/>
      <c r="B734" s="128"/>
      <c r="C734" s="128"/>
    </row>
    <row r="735">
      <c r="A735" s="128"/>
      <c r="B735" s="128"/>
      <c r="C735" s="128"/>
    </row>
    <row r="736">
      <c r="A736" s="128"/>
      <c r="B736" s="128"/>
      <c r="C736" s="128"/>
    </row>
    <row r="737">
      <c r="A737" s="128"/>
      <c r="B737" s="128"/>
      <c r="C737" s="128"/>
    </row>
    <row r="738">
      <c r="A738" s="128"/>
      <c r="B738" s="128"/>
      <c r="C738" s="128"/>
    </row>
    <row r="739">
      <c r="A739" s="128"/>
      <c r="B739" s="128"/>
      <c r="C739" s="128"/>
    </row>
    <row r="740">
      <c r="A740" s="128"/>
      <c r="B740" s="128"/>
      <c r="C740" s="128"/>
    </row>
    <row r="741">
      <c r="A741" s="128"/>
      <c r="B741" s="128"/>
      <c r="C741" s="128"/>
    </row>
    <row r="742">
      <c r="A742" s="128"/>
      <c r="B742" s="128"/>
      <c r="C742" s="128"/>
    </row>
    <row r="743">
      <c r="A743" s="128"/>
      <c r="B743" s="128"/>
      <c r="C743" s="128"/>
    </row>
    <row r="744">
      <c r="A744" s="128"/>
      <c r="B744" s="128"/>
      <c r="C744" s="128"/>
    </row>
    <row r="745">
      <c r="A745" s="128"/>
      <c r="B745" s="128"/>
      <c r="C745" s="128"/>
    </row>
    <row r="746">
      <c r="A746" s="128"/>
      <c r="B746" s="128"/>
      <c r="C746" s="128"/>
    </row>
    <row r="747">
      <c r="A747" s="128"/>
      <c r="B747" s="128"/>
      <c r="C747" s="128"/>
    </row>
    <row r="748">
      <c r="A748" s="128"/>
      <c r="B748" s="128"/>
      <c r="C748" s="128"/>
    </row>
    <row r="749">
      <c r="A749" s="128"/>
      <c r="B749" s="128"/>
      <c r="C749" s="128"/>
    </row>
    <row r="750">
      <c r="A750" s="128"/>
      <c r="B750" s="128"/>
      <c r="C750" s="128"/>
    </row>
    <row r="751">
      <c r="A751" s="128"/>
      <c r="B751" s="128"/>
      <c r="C751" s="128"/>
    </row>
    <row r="752">
      <c r="A752" s="128"/>
      <c r="B752" s="128"/>
      <c r="C752" s="128"/>
    </row>
    <row r="753">
      <c r="A753" s="128"/>
      <c r="B753" s="128"/>
      <c r="C753" s="128"/>
    </row>
    <row r="754">
      <c r="A754" s="128"/>
      <c r="B754" s="128"/>
      <c r="C754" s="128"/>
    </row>
    <row r="755">
      <c r="A755" s="128"/>
      <c r="B755" s="128"/>
      <c r="C755" s="128"/>
    </row>
    <row r="756">
      <c r="A756" s="128"/>
      <c r="B756" s="128"/>
      <c r="C756" s="128"/>
    </row>
    <row r="757">
      <c r="A757" s="128"/>
      <c r="B757" s="128"/>
      <c r="C757" s="128"/>
    </row>
    <row r="758">
      <c r="A758" s="128"/>
      <c r="B758" s="128"/>
      <c r="C758" s="128"/>
    </row>
    <row r="759">
      <c r="A759" s="128"/>
      <c r="B759" s="128"/>
      <c r="C759" s="128"/>
    </row>
    <row r="760">
      <c r="A760" s="128"/>
      <c r="B760" s="128"/>
      <c r="C760" s="128"/>
    </row>
    <row r="761">
      <c r="A761" s="128"/>
      <c r="B761" s="128"/>
      <c r="C761" s="128"/>
    </row>
    <row r="762">
      <c r="A762" s="128"/>
      <c r="B762" s="128"/>
      <c r="C762" s="128"/>
    </row>
    <row r="763">
      <c r="A763" s="128"/>
      <c r="B763" s="128"/>
      <c r="C763" s="128"/>
    </row>
    <row r="764">
      <c r="A764" s="128"/>
      <c r="B764" s="128"/>
      <c r="C764" s="128"/>
    </row>
    <row r="765">
      <c r="A765" s="128"/>
      <c r="B765" s="128"/>
      <c r="C765" s="128"/>
    </row>
    <row r="766">
      <c r="A766" s="128"/>
      <c r="B766" s="128"/>
      <c r="C766" s="128"/>
    </row>
    <row r="767">
      <c r="A767" s="128"/>
      <c r="B767" s="128"/>
      <c r="C767" s="128"/>
    </row>
    <row r="768">
      <c r="A768" s="128"/>
      <c r="B768" s="128"/>
      <c r="C768" s="128"/>
    </row>
    <row r="769">
      <c r="A769" s="128"/>
      <c r="B769" s="128"/>
      <c r="C769" s="128"/>
    </row>
    <row r="770">
      <c r="A770" s="128"/>
      <c r="B770" s="128"/>
      <c r="C770" s="128"/>
    </row>
    <row r="771">
      <c r="A771" s="128"/>
      <c r="B771" s="128"/>
      <c r="C771" s="128"/>
    </row>
    <row r="772">
      <c r="A772" s="128"/>
      <c r="B772" s="128"/>
      <c r="C772" s="128"/>
    </row>
    <row r="773">
      <c r="A773" s="128"/>
      <c r="B773" s="128"/>
      <c r="C773" s="128"/>
    </row>
    <row r="774">
      <c r="A774" s="128"/>
      <c r="B774" s="128"/>
      <c r="C774" s="128"/>
    </row>
    <row r="775">
      <c r="A775" s="128"/>
      <c r="B775" s="128"/>
      <c r="C775" s="128"/>
    </row>
    <row r="776">
      <c r="A776" s="128"/>
      <c r="B776" s="128"/>
      <c r="C776" s="128"/>
    </row>
    <row r="777">
      <c r="A777" s="128"/>
      <c r="B777" s="128"/>
      <c r="C777" s="128"/>
    </row>
    <row r="778">
      <c r="A778" s="128"/>
      <c r="B778" s="128"/>
      <c r="C778" s="128"/>
    </row>
    <row r="779">
      <c r="A779" s="128"/>
      <c r="B779" s="128"/>
      <c r="C779" s="128"/>
    </row>
    <row r="780">
      <c r="A780" s="128"/>
      <c r="B780" s="128"/>
      <c r="C780" s="128"/>
    </row>
    <row r="781">
      <c r="A781" s="128"/>
      <c r="B781" s="128"/>
      <c r="C781" s="128"/>
    </row>
    <row r="782">
      <c r="A782" s="128"/>
      <c r="B782" s="128"/>
      <c r="C782" s="128"/>
    </row>
    <row r="783">
      <c r="A783" s="128"/>
      <c r="B783" s="128"/>
      <c r="C783" s="128"/>
    </row>
    <row r="784">
      <c r="A784" s="128"/>
      <c r="B784" s="128"/>
      <c r="C784" s="128"/>
    </row>
    <row r="785">
      <c r="A785" s="128"/>
      <c r="B785" s="128"/>
      <c r="C785" s="128"/>
    </row>
    <row r="786">
      <c r="A786" s="128"/>
      <c r="B786" s="128"/>
      <c r="C786" s="128"/>
    </row>
    <row r="787">
      <c r="A787" s="128"/>
      <c r="B787" s="128"/>
      <c r="C787" s="128"/>
    </row>
    <row r="788">
      <c r="A788" s="128"/>
      <c r="B788" s="128"/>
      <c r="C788" s="128"/>
    </row>
    <row r="789">
      <c r="A789" s="128"/>
      <c r="B789" s="128"/>
      <c r="C789" s="128"/>
    </row>
    <row r="790">
      <c r="A790" s="128"/>
      <c r="B790" s="128"/>
      <c r="C790" s="128"/>
    </row>
    <row r="791">
      <c r="A791" s="128"/>
      <c r="B791" s="128"/>
      <c r="C791" s="128"/>
    </row>
    <row r="792">
      <c r="A792" s="128"/>
      <c r="B792" s="128"/>
      <c r="C792" s="128"/>
    </row>
    <row r="793">
      <c r="A793" s="128"/>
      <c r="B793" s="128"/>
      <c r="C793" s="128"/>
    </row>
    <row r="794">
      <c r="A794" s="128"/>
      <c r="B794" s="128"/>
      <c r="C794" s="128"/>
    </row>
    <row r="795">
      <c r="A795" s="128"/>
      <c r="B795" s="128"/>
      <c r="C795" s="128"/>
    </row>
    <row r="796">
      <c r="A796" s="128"/>
      <c r="B796" s="128"/>
      <c r="C796" s="128"/>
    </row>
    <row r="797">
      <c r="A797" s="128"/>
      <c r="B797" s="128"/>
      <c r="C797" s="128"/>
    </row>
    <row r="798">
      <c r="A798" s="128"/>
      <c r="B798" s="128"/>
      <c r="C798" s="128"/>
    </row>
    <row r="799">
      <c r="A799" s="128"/>
      <c r="B799" s="128"/>
      <c r="C799" s="128"/>
    </row>
    <row r="800">
      <c r="A800" s="128"/>
      <c r="B800" s="128"/>
      <c r="C800" s="128"/>
    </row>
    <row r="801">
      <c r="A801" s="128"/>
      <c r="B801" s="128"/>
      <c r="C801" s="128"/>
    </row>
    <row r="802">
      <c r="A802" s="128"/>
      <c r="B802" s="128"/>
      <c r="C802" s="128"/>
    </row>
    <row r="803">
      <c r="A803" s="128"/>
      <c r="B803" s="128"/>
      <c r="C803" s="128"/>
    </row>
    <row r="804">
      <c r="A804" s="128"/>
      <c r="B804" s="128"/>
      <c r="C804" s="128"/>
    </row>
    <row r="805">
      <c r="A805" s="128"/>
      <c r="B805" s="128"/>
      <c r="C805" s="128"/>
    </row>
    <row r="806">
      <c r="A806" s="128"/>
      <c r="B806" s="128"/>
      <c r="C806" s="128"/>
    </row>
    <row r="807">
      <c r="A807" s="128"/>
      <c r="B807" s="128"/>
      <c r="C807" s="128"/>
    </row>
    <row r="808">
      <c r="A808" s="128"/>
      <c r="B808" s="128"/>
      <c r="C808" s="128"/>
    </row>
    <row r="809">
      <c r="A809" s="128"/>
      <c r="B809" s="128"/>
      <c r="C809" s="128"/>
    </row>
    <row r="810">
      <c r="A810" s="128"/>
      <c r="B810" s="128"/>
      <c r="C810" s="128"/>
    </row>
    <row r="811">
      <c r="A811" s="128"/>
      <c r="B811" s="128"/>
      <c r="C811" s="128"/>
    </row>
    <row r="812">
      <c r="A812" s="128"/>
      <c r="B812" s="128"/>
      <c r="C812" s="128"/>
    </row>
    <row r="813">
      <c r="A813" s="128"/>
      <c r="B813" s="128"/>
      <c r="C813" s="128"/>
    </row>
    <row r="814">
      <c r="A814" s="128"/>
      <c r="B814" s="128"/>
      <c r="C814" s="128"/>
    </row>
    <row r="815">
      <c r="A815" s="128"/>
      <c r="B815" s="128"/>
      <c r="C815" s="128"/>
    </row>
    <row r="816">
      <c r="A816" s="128"/>
      <c r="B816" s="128"/>
      <c r="C816" s="128"/>
    </row>
    <row r="817">
      <c r="A817" s="128"/>
      <c r="B817" s="128"/>
      <c r="C817" s="128"/>
    </row>
    <row r="818">
      <c r="A818" s="128"/>
      <c r="B818" s="128"/>
      <c r="C818" s="128"/>
    </row>
    <row r="819">
      <c r="A819" s="128"/>
      <c r="B819" s="128"/>
      <c r="C819" s="128"/>
    </row>
    <row r="820">
      <c r="A820" s="128"/>
      <c r="B820" s="128"/>
      <c r="C820" s="128"/>
    </row>
    <row r="821">
      <c r="A821" s="128"/>
      <c r="B821" s="128"/>
      <c r="C821" s="128"/>
    </row>
    <row r="822">
      <c r="A822" s="128"/>
      <c r="B822" s="128"/>
      <c r="C822" s="128"/>
    </row>
    <row r="823">
      <c r="A823" s="128"/>
      <c r="B823" s="128"/>
      <c r="C823" s="128"/>
    </row>
    <row r="824">
      <c r="A824" s="128"/>
      <c r="B824" s="128"/>
      <c r="C824" s="128"/>
    </row>
    <row r="825">
      <c r="A825" s="128"/>
      <c r="B825" s="128"/>
      <c r="C825" s="128"/>
    </row>
    <row r="826">
      <c r="A826" s="128"/>
      <c r="B826" s="128"/>
      <c r="C826" s="128"/>
    </row>
    <row r="827">
      <c r="A827" s="128"/>
      <c r="B827" s="128"/>
      <c r="C827" s="128"/>
    </row>
    <row r="828">
      <c r="A828" s="128"/>
      <c r="B828" s="128"/>
      <c r="C828" s="128"/>
    </row>
    <row r="829">
      <c r="A829" s="128"/>
      <c r="B829" s="128"/>
      <c r="C829" s="128"/>
    </row>
    <row r="830">
      <c r="A830" s="128"/>
      <c r="B830" s="128"/>
      <c r="C830" s="128"/>
    </row>
    <row r="831">
      <c r="A831" s="128"/>
      <c r="B831" s="128"/>
      <c r="C831" s="128"/>
    </row>
    <row r="832">
      <c r="A832" s="128"/>
      <c r="B832" s="128"/>
      <c r="C832" s="128"/>
    </row>
    <row r="833">
      <c r="A833" s="128"/>
      <c r="B833" s="128"/>
      <c r="C833" s="128"/>
    </row>
    <row r="834">
      <c r="A834" s="128"/>
      <c r="B834" s="128"/>
      <c r="C834" s="128"/>
    </row>
    <row r="835">
      <c r="A835" s="128"/>
      <c r="B835" s="128"/>
      <c r="C835" s="128"/>
    </row>
    <row r="836">
      <c r="A836" s="128"/>
      <c r="B836" s="128"/>
      <c r="C836" s="128"/>
    </row>
    <row r="837">
      <c r="A837" s="128"/>
      <c r="B837" s="128"/>
      <c r="C837" s="128"/>
    </row>
    <row r="838">
      <c r="A838" s="128"/>
      <c r="B838" s="128"/>
      <c r="C838" s="128"/>
    </row>
    <row r="839">
      <c r="A839" s="128"/>
      <c r="B839" s="128"/>
      <c r="C839" s="128"/>
    </row>
    <row r="840">
      <c r="A840" s="128"/>
      <c r="B840" s="128"/>
      <c r="C840" s="128"/>
    </row>
    <row r="841">
      <c r="A841" s="128"/>
      <c r="B841" s="128"/>
      <c r="C841" s="128"/>
    </row>
    <row r="842">
      <c r="A842" s="128"/>
      <c r="B842" s="128"/>
      <c r="C842" s="128"/>
    </row>
    <row r="843">
      <c r="A843" s="128"/>
      <c r="B843" s="128"/>
      <c r="C843" s="128"/>
    </row>
    <row r="844">
      <c r="A844" s="128"/>
      <c r="B844" s="128"/>
      <c r="C844" s="128"/>
    </row>
    <row r="845">
      <c r="A845" s="128"/>
      <c r="B845" s="128"/>
      <c r="C845" s="128"/>
    </row>
    <row r="846">
      <c r="A846" s="128"/>
      <c r="B846" s="128"/>
      <c r="C846" s="128"/>
    </row>
    <row r="847">
      <c r="A847" s="128"/>
      <c r="B847" s="128"/>
      <c r="C847" s="128"/>
    </row>
    <row r="848">
      <c r="A848" s="128"/>
      <c r="B848" s="128"/>
      <c r="C848" s="128"/>
    </row>
    <row r="849">
      <c r="A849" s="128"/>
      <c r="B849" s="128"/>
      <c r="C849" s="128"/>
    </row>
    <row r="850">
      <c r="A850" s="128"/>
      <c r="B850" s="128"/>
      <c r="C850" s="128"/>
    </row>
    <row r="851">
      <c r="A851" s="128"/>
      <c r="B851" s="128"/>
      <c r="C851" s="128"/>
    </row>
    <row r="852">
      <c r="A852" s="128"/>
      <c r="B852" s="128"/>
      <c r="C852" s="128"/>
    </row>
    <row r="853">
      <c r="A853" s="128"/>
      <c r="B853" s="128"/>
      <c r="C853" s="128"/>
    </row>
    <row r="854">
      <c r="A854" s="128"/>
      <c r="B854" s="128"/>
      <c r="C854" s="128"/>
    </row>
    <row r="855">
      <c r="A855" s="128"/>
      <c r="B855" s="128"/>
      <c r="C855" s="128"/>
    </row>
    <row r="856">
      <c r="A856" s="128"/>
      <c r="B856" s="128"/>
      <c r="C856" s="128"/>
    </row>
    <row r="857">
      <c r="A857" s="128"/>
      <c r="B857" s="128"/>
      <c r="C857" s="128"/>
    </row>
    <row r="858">
      <c r="A858" s="128"/>
      <c r="B858" s="128"/>
      <c r="C858" s="128"/>
    </row>
    <row r="859">
      <c r="A859" s="128"/>
      <c r="B859" s="128"/>
      <c r="C859" s="128"/>
    </row>
    <row r="860">
      <c r="A860" s="128"/>
      <c r="B860" s="128"/>
      <c r="C860" s="128"/>
    </row>
    <row r="861">
      <c r="A861" s="128"/>
      <c r="B861" s="128"/>
      <c r="C861" s="128"/>
    </row>
    <row r="862">
      <c r="A862" s="128"/>
      <c r="B862" s="128"/>
      <c r="C862" s="128"/>
    </row>
    <row r="863">
      <c r="A863" s="128"/>
      <c r="B863" s="128"/>
      <c r="C863" s="128"/>
    </row>
    <row r="864">
      <c r="A864" s="128"/>
      <c r="B864" s="128"/>
      <c r="C864" s="128"/>
    </row>
    <row r="865">
      <c r="A865" s="128"/>
      <c r="B865" s="128"/>
      <c r="C865" s="128"/>
    </row>
    <row r="866">
      <c r="A866" s="128"/>
      <c r="B866" s="128"/>
      <c r="C866" s="128"/>
    </row>
    <row r="867">
      <c r="A867" s="128"/>
      <c r="B867" s="128"/>
      <c r="C867" s="128"/>
    </row>
    <row r="868">
      <c r="A868" s="128"/>
      <c r="B868" s="128"/>
      <c r="C868" s="128"/>
    </row>
    <row r="869">
      <c r="A869" s="128"/>
      <c r="B869" s="128"/>
      <c r="C869" s="128"/>
    </row>
    <row r="870">
      <c r="A870" s="128"/>
      <c r="B870" s="128"/>
      <c r="C870" s="128"/>
    </row>
    <row r="871">
      <c r="A871" s="128"/>
      <c r="B871" s="128"/>
      <c r="C871" s="128"/>
    </row>
    <row r="872">
      <c r="A872" s="128"/>
      <c r="B872" s="128"/>
      <c r="C872" s="128"/>
    </row>
    <row r="873">
      <c r="A873" s="128"/>
      <c r="B873" s="128"/>
      <c r="C873" s="128"/>
    </row>
    <row r="874">
      <c r="A874" s="128"/>
      <c r="B874" s="128"/>
      <c r="C874" s="128"/>
    </row>
    <row r="875">
      <c r="A875" s="128"/>
      <c r="B875" s="128"/>
      <c r="C875" s="128"/>
    </row>
    <row r="876">
      <c r="A876" s="128"/>
      <c r="B876" s="128"/>
      <c r="C876" s="128"/>
    </row>
    <row r="877">
      <c r="A877" s="128"/>
      <c r="B877" s="128"/>
      <c r="C877" s="128"/>
    </row>
    <row r="878">
      <c r="A878" s="128"/>
      <c r="B878" s="128"/>
      <c r="C878" s="128"/>
    </row>
    <row r="879">
      <c r="A879" s="128"/>
      <c r="B879" s="128"/>
      <c r="C879" s="128"/>
    </row>
    <row r="880">
      <c r="A880" s="128"/>
      <c r="B880" s="128"/>
      <c r="C880" s="128"/>
    </row>
    <row r="881">
      <c r="A881" s="128"/>
      <c r="B881" s="128"/>
      <c r="C881" s="128"/>
    </row>
    <row r="882">
      <c r="A882" s="128"/>
      <c r="B882" s="128"/>
      <c r="C882" s="128"/>
    </row>
    <row r="883">
      <c r="A883" s="128"/>
      <c r="B883" s="128"/>
      <c r="C883" s="128"/>
    </row>
    <row r="884">
      <c r="A884" s="128"/>
      <c r="B884" s="128"/>
      <c r="C884" s="128"/>
    </row>
    <row r="885">
      <c r="A885" s="128"/>
      <c r="B885" s="128"/>
      <c r="C885" s="128"/>
    </row>
    <row r="886">
      <c r="A886" s="128"/>
      <c r="B886" s="128"/>
      <c r="C886" s="128"/>
    </row>
    <row r="887">
      <c r="A887" s="128"/>
      <c r="B887" s="128"/>
      <c r="C887" s="128"/>
    </row>
    <row r="888">
      <c r="A888" s="128"/>
      <c r="B888" s="128"/>
      <c r="C888" s="128"/>
    </row>
    <row r="889">
      <c r="A889" s="128"/>
      <c r="B889" s="128"/>
      <c r="C889" s="128"/>
    </row>
    <row r="890">
      <c r="A890" s="128"/>
      <c r="B890" s="128"/>
      <c r="C890" s="128"/>
    </row>
    <row r="891">
      <c r="A891" s="128"/>
      <c r="B891" s="128"/>
      <c r="C891" s="128"/>
    </row>
    <row r="892">
      <c r="A892" s="128"/>
      <c r="B892" s="128"/>
      <c r="C892" s="128"/>
    </row>
    <row r="893">
      <c r="A893" s="128"/>
      <c r="B893" s="128"/>
      <c r="C893" s="128"/>
    </row>
    <row r="894">
      <c r="A894" s="128"/>
      <c r="B894" s="128"/>
      <c r="C894" s="128"/>
    </row>
    <row r="895">
      <c r="A895" s="128"/>
      <c r="B895" s="128"/>
      <c r="C895" s="128"/>
    </row>
    <row r="896">
      <c r="A896" s="128"/>
      <c r="B896" s="128"/>
      <c r="C896" s="128"/>
    </row>
    <row r="897">
      <c r="A897" s="128"/>
      <c r="B897" s="128"/>
      <c r="C897" s="128"/>
    </row>
    <row r="898">
      <c r="A898" s="128"/>
      <c r="B898" s="128"/>
      <c r="C898" s="128"/>
    </row>
    <row r="899">
      <c r="A899" s="128"/>
      <c r="B899" s="128"/>
      <c r="C899" s="128"/>
    </row>
    <row r="900">
      <c r="A900" s="128"/>
      <c r="B900" s="128"/>
      <c r="C900" s="128"/>
    </row>
    <row r="901">
      <c r="A901" s="128"/>
      <c r="B901" s="128"/>
      <c r="C901" s="128"/>
    </row>
    <row r="902">
      <c r="A902" s="128"/>
      <c r="B902" s="128"/>
      <c r="C902" s="128"/>
    </row>
    <row r="903">
      <c r="A903" s="128"/>
      <c r="B903" s="128"/>
      <c r="C903" s="128"/>
    </row>
    <row r="904">
      <c r="A904" s="128"/>
      <c r="B904" s="128"/>
      <c r="C904" s="128"/>
    </row>
    <row r="905">
      <c r="A905" s="128"/>
      <c r="B905" s="128"/>
      <c r="C905" s="128"/>
    </row>
    <row r="906">
      <c r="A906" s="128"/>
      <c r="B906" s="128"/>
      <c r="C906" s="128"/>
    </row>
    <row r="907">
      <c r="A907" s="128"/>
      <c r="B907" s="128"/>
      <c r="C907" s="128"/>
    </row>
    <row r="908">
      <c r="A908" s="128"/>
      <c r="B908" s="128"/>
      <c r="C908" s="128"/>
    </row>
    <row r="909">
      <c r="A909" s="128"/>
      <c r="B909" s="128"/>
      <c r="C909" s="128"/>
    </row>
    <row r="910">
      <c r="A910" s="128"/>
      <c r="B910" s="128"/>
      <c r="C910" s="128"/>
    </row>
    <row r="911">
      <c r="A911" s="128"/>
      <c r="B911" s="128"/>
      <c r="C911" s="128"/>
    </row>
    <row r="912">
      <c r="A912" s="128"/>
      <c r="B912" s="128"/>
      <c r="C912" s="128"/>
    </row>
    <row r="913">
      <c r="A913" s="128"/>
      <c r="B913" s="128"/>
      <c r="C913" s="128"/>
    </row>
    <row r="914">
      <c r="A914" s="128"/>
      <c r="B914" s="128"/>
      <c r="C914" s="128"/>
    </row>
    <row r="915">
      <c r="A915" s="128"/>
      <c r="B915" s="128"/>
      <c r="C915" s="128"/>
    </row>
    <row r="916">
      <c r="A916" s="128"/>
      <c r="B916" s="128"/>
      <c r="C916" s="128"/>
    </row>
    <row r="917">
      <c r="A917" s="128"/>
      <c r="B917" s="128"/>
      <c r="C917" s="128"/>
    </row>
    <row r="918">
      <c r="A918" s="128"/>
      <c r="B918" s="128"/>
      <c r="C918" s="128"/>
    </row>
    <row r="919">
      <c r="A919" s="128"/>
      <c r="B919" s="128"/>
      <c r="C919" s="128"/>
    </row>
    <row r="920">
      <c r="A920" s="128"/>
      <c r="B920" s="128"/>
      <c r="C920" s="128"/>
    </row>
    <row r="921">
      <c r="A921" s="128"/>
      <c r="B921" s="128"/>
      <c r="C921" s="128"/>
    </row>
    <row r="922">
      <c r="A922" s="128"/>
      <c r="B922" s="128"/>
      <c r="C922" s="128"/>
    </row>
    <row r="923">
      <c r="A923" s="128"/>
      <c r="B923" s="128"/>
      <c r="C923" s="128"/>
    </row>
    <row r="924">
      <c r="A924" s="128"/>
      <c r="B924" s="128"/>
      <c r="C924" s="128"/>
    </row>
    <row r="925">
      <c r="A925" s="128"/>
      <c r="B925" s="128"/>
      <c r="C925" s="128"/>
    </row>
    <row r="926">
      <c r="A926" s="128"/>
      <c r="B926" s="128"/>
      <c r="C926" s="128"/>
    </row>
    <row r="927">
      <c r="A927" s="128"/>
      <c r="B927" s="128"/>
      <c r="C927" s="128"/>
    </row>
    <row r="928">
      <c r="A928" s="128"/>
      <c r="B928" s="128"/>
      <c r="C928" s="128"/>
    </row>
    <row r="929">
      <c r="A929" s="128"/>
      <c r="B929" s="128"/>
      <c r="C929" s="128"/>
    </row>
    <row r="930">
      <c r="A930" s="128"/>
      <c r="B930" s="128"/>
      <c r="C930" s="128"/>
    </row>
    <row r="931">
      <c r="A931" s="128"/>
      <c r="B931" s="128"/>
      <c r="C931" s="128"/>
    </row>
    <row r="932">
      <c r="A932" s="128"/>
      <c r="B932" s="128"/>
      <c r="C932" s="128"/>
    </row>
    <row r="933">
      <c r="A933" s="128"/>
      <c r="B933" s="128"/>
      <c r="C933" s="128"/>
    </row>
    <row r="934">
      <c r="A934" s="128"/>
      <c r="B934" s="128"/>
      <c r="C934" s="128"/>
    </row>
    <row r="935">
      <c r="A935" s="128"/>
      <c r="B935" s="128"/>
      <c r="C935" s="128"/>
    </row>
    <row r="936">
      <c r="A936" s="128"/>
      <c r="B936" s="128"/>
      <c r="C936" s="128"/>
    </row>
    <row r="937">
      <c r="A937" s="128"/>
      <c r="B937" s="128"/>
      <c r="C937" s="128"/>
    </row>
    <row r="938">
      <c r="A938" s="128"/>
      <c r="B938" s="128"/>
      <c r="C938" s="128"/>
    </row>
    <row r="939">
      <c r="A939" s="128"/>
      <c r="B939" s="128"/>
      <c r="C939" s="128"/>
    </row>
    <row r="940">
      <c r="A940" s="128"/>
      <c r="B940" s="128"/>
      <c r="C940" s="128"/>
    </row>
    <row r="941">
      <c r="A941" s="128"/>
      <c r="B941" s="128"/>
      <c r="C941" s="128"/>
    </row>
    <row r="942">
      <c r="A942" s="128"/>
      <c r="B942" s="128"/>
      <c r="C942" s="128"/>
    </row>
    <row r="943">
      <c r="A943" s="128"/>
      <c r="B943" s="128"/>
      <c r="C943" s="128"/>
    </row>
    <row r="944">
      <c r="A944" s="128"/>
      <c r="B944" s="128"/>
      <c r="C944" s="128"/>
    </row>
    <row r="945">
      <c r="A945" s="128"/>
      <c r="B945" s="128"/>
      <c r="C945" s="128"/>
    </row>
    <row r="946">
      <c r="A946" s="128"/>
      <c r="B946" s="128"/>
      <c r="C946" s="128"/>
    </row>
    <row r="947">
      <c r="A947" s="128"/>
      <c r="B947" s="128"/>
      <c r="C947" s="128"/>
    </row>
    <row r="948">
      <c r="A948" s="128"/>
      <c r="B948" s="128"/>
      <c r="C948" s="128"/>
    </row>
    <row r="949">
      <c r="A949" s="128"/>
      <c r="B949" s="128"/>
      <c r="C949" s="128"/>
    </row>
    <row r="950">
      <c r="A950" s="128"/>
      <c r="B950" s="128"/>
      <c r="C950" s="128"/>
    </row>
    <row r="951">
      <c r="A951" s="128"/>
      <c r="B951" s="128"/>
      <c r="C951" s="128"/>
    </row>
    <row r="952">
      <c r="A952" s="128"/>
      <c r="B952" s="128"/>
      <c r="C952" s="128"/>
    </row>
    <row r="953">
      <c r="A953" s="128"/>
      <c r="B953" s="128"/>
      <c r="C953" s="128"/>
    </row>
    <row r="954">
      <c r="A954" s="128"/>
      <c r="B954" s="128"/>
      <c r="C954" s="128"/>
    </row>
    <row r="955">
      <c r="A955" s="128"/>
      <c r="B955" s="128"/>
      <c r="C955" s="128"/>
    </row>
    <row r="956">
      <c r="A956" s="128"/>
      <c r="B956" s="128"/>
      <c r="C956" s="128"/>
    </row>
    <row r="957">
      <c r="A957" s="128"/>
      <c r="B957" s="128"/>
      <c r="C957" s="128"/>
    </row>
    <row r="958">
      <c r="A958" s="128"/>
      <c r="B958" s="128"/>
      <c r="C958" s="128"/>
    </row>
    <row r="959">
      <c r="A959" s="128"/>
      <c r="B959" s="128"/>
      <c r="C959" s="128"/>
    </row>
    <row r="960">
      <c r="A960" s="128"/>
      <c r="B960" s="128"/>
      <c r="C960" s="128"/>
    </row>
    <row r="961">
      <c r="A961" s="128"/>
      <c r="B961" s="128"/>
      <c r="C961" s="128"/>
    </row>
    <row r="962">
      <c r="A962" s="128"/>
      <c r="B962" s="128"/>
      <c r="C962" s="128"/>
    </row>
    <row r="963">
      <c r="A963" s="128"/>
      <c r="B963" s="128"/>
      <c r="C963" s="128"/>
    </row>
    <row r="964">
      <c r="A964" s="128"/>
      <c r="B964" s="128"/>
      <c r="C964" s="128"/>
    </row>
    <row r="965">
      <c r="A965" s="128"/>
      <c r="B965" s="128"/>
      <c r="C965" s="128"/>
    </row>
    <row r="966">
      <c r="A966" s="128"/>
      <c r="B966" s="128"/>
      <c r="C966" s="128"/>
    </row>
    <row r="967">
      <c r="A967" s="128"/>
      <c r="B967" s="128"/>
      <c r="C967" s="128"/>
    </row>
    <row r="968">
      <c r="A968" s="128"/>
      <c r="B968" s="128"/>
      <c r="C968" s="128"/>
    </row>
    <row r="969">
      <c r="A969" s="128"/>
      <c r="B969" s="128"/>
      <c r="C969" s="128"/>
    </row>
    <row r="970">
      <c r="A970" s="128"/>
      <c r="B970" s="128"/>
      <c r="C970" s="128"/>
    </row>
    <row r="971">
      <c r="A971" s="128"/>
      <c r="B971" s="128"/>
      <c r="C971" s="128"/>
    </row>
    <row r="972">
      <c r="A972" s="128"/>
      <c r="B972" s="128"/>
      <c r="C972" s="128"/>
    </row>
    <row r="973">
      <c r="A973" s="128"/>
      <c r="B973" s="128"/>
      <c r="C973" s="128"/>
    </row>
    <row r="974">
      <c r="A974" s="128"/>
      <c r="B974" s="128"/>
      <c r="C974" s="128"/>
    </row>
    <row r="975">
      <c r="A975" s="128"/>
      <c r="B975" s="128"/>
      <c r="C975" s="128"/>
    </row>
    <row r="976">
      <c r="A976" s="128"/>
      <c r="B976" s="128"/>
      <c r="C976" s="128"/>
    </row>
    <row r="977">
      <c r="A977" s="128"/>
      <c r="B977" s="128"/>
      <c r="C977" s="128"/>
    </row>
    <row r="978">
      <c r="A978" s="128"/>
      <c r="B978" s="128"/>
      <c r="C978" s="128"/>
    </row>
    <row r="979">
      <c r="A979" s="128"/>
      <c r="B979" s="128"/>
      <c r="C979" s="128"/>
    </row>
    <row r="980">
      <c r="A980" s="128"/>
      <c r="B980" s="128"/>
      <c r="C980" s="128"/>
    </row>
    <row r="981">
      <c r="A981" s="128"/>
      <c r="B981" s="128"/>
      <c r="C981" s="128"/>
    </row>
    <row r="982">
      <c r="A982" s="128"/>
      <c r="B982" s="128"/>
      <c r="C982" s="128"/>
    </row>
    <row r="983">
      <c r="A983" s="128"/>
      <c r="B983" s="128"/>
      <c r="C983" s="128"/>
    </row>
    <row r="984">
      <c r="A984" s="128"/>
      <c r="B984" s="128"/>
      <c r="C984" s="128"/>
    </row>
    <row r="985">
      <c r="A985" s="128"/>
      <c r="B985" s="128"/>
      <c r="C985" s="128"/>
    </row>
    <row r="986">
      <c r="A986" s="128"/>
      <c r="B986" s="128"/>
      <c r="C986" s="128"/>
    </row>
    <row r="987">
      <c r="A987" s="128"/>
      <c r="B987" s="128"/>
      <c r="C987" s="128"/>
    </row>
    <row r="988">
      <c r="A988" s="128"/>
      <c r="B988" s="128"/>
      <c r="C988" s="128"/>
    </row>
    <row r="989">
      <c r="A989" s="128"/>
      <c r="B989" s="128"/>
      <c r="C989" s="128"/>
    </row>
    <row r="990">
      <c r="A990" s="128"/>
      <c r="B990" s="128"/>
      <c r="C990" s="128"/>
    </row>
    <row r="991">
      <c r="A991" s="128"/>
      <c r="B991" s="128"/>
      <c r="C991" s="128"/>
    </row>
    <row r="992">
      <c r="A992" s="128"/>
      <c r="B992" s="128"/>
      <c r="C992" s="128"/>
    </row>
    <row r="993">
      <c r="A993" s="128"/>
      <c r="B993" s="128"/>
      <c r="C993" s="128"/>
    </row>
    <row r="994">
      <c r="A994" s="128"/>
      <c r="B994" s="128"/>
      <c r="C994" s="128"/>
    </row>
    <row r="995">
      <c r="A995" s="128"/>
      <c r="B995" s="128"/>
      <c r="C995" s="128"/>
    </row>
    <row r="996">
      <c r="A996" s="128"/>
      <c r="B996" s="128"/>
      <c r="C996" s="128"/>
    </row>
    <row r="997">
      <c r="A997" s="128"/>
      <c r="B997" s="128"/>
      <c r="C997" s="128"/>
    </row>
    <row r="998">
      <c r="A998" s="128"/>
      <c r="B998" s="128"/>
      <c r="C998" s="128"/>
    </row>
    <row r="999">
      <c r="A999" s="128"/>
      <c r="B999" s="128"/>
      <c r="C999" s="128"/>
    </row>
    <row r="1000">
      <c r="A1000" s="128"/>
      <c r="B1000" s="128"/>
      <c r="C1000" s="128"/>
    </row>
    <row r="1001">
      <c r="A1001" s="128"/>
      <c r="B1001" s="128"/>
      <c r="C1001" s="128"/>
    </row>
    <row r="1002">
      <c r="A1002" s="128"/>
      <c r="B1002" s="128"/>
      <c r="C1002" s="128"/>
    </row>
    <row r="1003">
      <c r="A1003" s="128"/>
      <c r="B1003" s="128"/>
      <c r="C1003" s="128"/>
    </row>
    <row r="1004">
      <c r="A1004" s="128"/>
      <c r="B1004" s="128"/>
      <c r="C1004" s="128"/>
    </row>
    <row r="1005">
      <c r="A1005" s="128"/>
      <c r="B1005" s="128"/>
      <c r="C1005" s="128"/>
    </row>
    <row r="1006">
      <c r="A1006" s="128"/>
      <c r="B1006" s="128"/>
      <c r="C1006" s="128"/>
    </row>
    <row r="1007">
      <c r="A1007" s="128"/>
      <c r="B1007" s="128"/>
      <c r="C1007" s="128"/>
    </row>
    <row r="1008">
      <c r="A1008" s="128"/>
      <c r="B1008" s="128"/>
      <c r="C1008" s="128"/>
    </row>
    <row r="1009">
      <c r="A1009" s="128"/>
      <c r="B1009" s="128"/>
      <c r="C1009" s="128"/>
    </row>
    <row r="1010">
      <c r="A1010" s="128"/>
      <c r="B1010" s="128"/>
      <c r="C1010" s="128"/>
    </row>
    <row r="1011">
      <c r="A1011" s="128"/>
      <c r="B1011" s="128"/>
      <c r="C1011" s="128"/>
    </row>
    <row r="1012">
      <c r="A1012" s="128"/>
      <c r="B1012" s="128"/>
      <c r="C1012" s="128"/>
    </row>
    <row r="1013">
      <c r="A1013" s="128"/>
      <c r="B1013" s="128"/>
      <c r="C1013" s="128"/>
    </row>
    <row r="1014">
      <c r="A1014" s="128"/>
      <c r="B1014" s="128"/>
      <c r="C1014" s="128"/>
    </row>
    <row r="1015">
      <c r="A1015" s="128"/>
      <c r="B1015" s="128"/>
      <c r="C1015" s="128"/>
    </row>
    <row r="1016">
      <c r="A1016" s="128"/>
      <c r="B1016" s="128"/>
      <c r="C1016" s="128"/>
    </row>
    <row r="1017">
      <c r="A1017" s="128"/>
      <c r="B1017" s="128"/>
      <c r="C1017" s="128"/>
    </row>
    <row r="1018">
      <c r="A1018" s="128"/>
      <c r="B1018" s="128"/>
      <c r="C1018" s="128"/>
    </row>
    <row r="1019">
      <c r="A1019" s="128"/>
      <c r="B1019" s="128"/>
      <c r="C1019" s="128"/>
    </row>
    <row r="1020">
      <c r="A1020" s="128"/>
      <c r="B1020" s="128"/>
      <c r="C1020" s="128"/>
    </row>
    <row r="1021">
      <c r="A1021" s="128"/>
      <c r="B1021" s="128"/>
      <c r="C1021" s="128"/>
    </row>
    <row r="1022">
      <c r="A1022" s="128"/>
      <c r="B1022" s="128"/>
      <c r="C1022" s="128"/>
    </row>
    <row r="1023">
      <c r="A1023" s="128"/>
      <c r="B1023" s="128"/>
      <c r="C1023" s="128"/>
    </row>
    <row r="1024">
      <c r="A1024" s="128"/>
      <c r="B1024" s="128"/>
      <c r="C1024" s="128"/>
    </row>
    <row r="1025">
      <c r="A1025" s="128"/>
      <c r="B1025" s="128"/>
      <c r="C1025" s="128"/>
    </row>
    <row r="1026">
      <c r="A1026" s="128"/>
      <c r="B1026" s="128"/>
      <c r="C1026" s="128"/>
    </row>
    <row r="1027">
      <c r="A1027" s="128"/>
      <c r="B1027" s="128"/>
      <c r="C1027" s="128"/>
    </row>
    <row r="1028">
      <c r="A1028" s="128"/>
      <c r="B1028" s="128"/>
      <c r="C1028" s="128"/>
    </row>
    <row r="1029">
      <c r="A1029" s="128"/>
      <c r="B1029" s="128"/>
      <c r="C1029" s="128"/>
    </row>
    <row r="1030">
      <c r="A1030" s="128"/>
      <c r="B1030" s="128"/>
      <c r="C1030" s="128"/>
    </row>
    <row r="1031">
      <c r="A1031" s="128"/>
      <c r="B1031" s="128"/>
      <c r="C1031" s="128"/>
    </row>
    <row r="1032">
      <c r="A1032" s="128"/>
      <c r="B1032" s="128"/>
      <c r="C1032" s="128"/>
    </row>
    <row r="1033">
      <c r="A1033" s="128"/>
      <c r="B1033" s="128"/>
      <c r="C1033" s="128"/>
    </row>
    <row r="1034">
      <c r="A1034" s="128"/>
      <c r="B1034" s="128"/>
      <c r="C1034" s="128"/>
    </row>
    <row r="1035">
      <c r="A1035" s="128"/>
      <c r="B1035" s="128"/>
      <c r="C1035" s="128"/>
    </row>
    <row r="1036">
      <c r="A1036" s="128"/>
      <c r="B1036" s="128"/>
      <c r="C1036" s="128"/>
    </row>
    <row r="1037">
      <c r="A1037" s="128"/>
      <c r="B1037" s="128"/>
      <c r="C1037" s="128"/>
    </row>
    <row r="1038">
      <c r="A1038" s="128"/>
      <c r="B1038" s="128"/>
      <c r="C1038" s="128"/>
    </row>
    <row r="1039">
      <c r="A1039" s="128"/>
      <c r="B1039" s="128"/>
      <c r="C1039" s="128"/>
    </row>
    <row r="1040">
      <c r="A1040" s="128"/>
      <c r="B1040" s="128"/>
      <c r="C1040" s="128"/>
    </row>
    <row r="1041">
      <c r="A1041" s="128"/>
      <c r="B1041" s="128"/>
      <c r="C1041" s="128"/>
    </row>
    <row r="1042">
      <c r="A1042" s="128"/>
      <c r="B1042" s="128"/>
      <c r="C1042" s="128"/>
    </row>
    <row r="1043">
      <c r="A1043" s="128"/>
      <c r="B1043" s="128"/>
      <c r="C1043" s="128"/>
    </row>
    <row r="1044">
      <c r="A1044" s="128"/>
      <c r="B1044" s="128"/>
      <c r="C1044" s="128"/>
    </row>
    <row r="1045">
      <c r="A1045" s="128"/>
      <c r="B1045" s="128"/>
      <c r="C1045" s="128"/>
    </row>
    <row r="1046">
      <c r="A1046" s="128"/>
      <c r="B1046" s="128"/>
      <c r="C1046" s="128"/>
    </row>
    <row r="1047">
      <c r="A1047" s="128"/>
      <c r="B1047" s="128"/>
      <c r="C1047" s="128"/>
    </row>
    <row r="1048">
      <c r="A1048" s="128"/>
      <c r="B1048" s="128"/>
      <c r="C1048" s="128"/>
    </row>
    <row r="1049">
      <c r="A1049" s="128"/>
      <c r="B1049" s="128"/>
      <c r="C1049" s="128"/>
    </row>
    <row r="1050">
      <c r="A1050" s="128"/>
      <c r="B1050" s="128"/>
      <c r="C1050" s="128"/>
    </row>
    <row r="1051">
      <c r="A1051" s="128"/>
      <c r="B1051" s="128"/>
      <c r="C1051" s="128"/>
    </row>
    <row r="1052">
      <c r="A1052" s="128"/>
      <c r="B1052" s="128"/>
      <c r="C1052" s="128"/>
    </row>
    <row r="1053">
      <c r="A1053" s="128"/>
      <c r="B1053" s="128"/>
      <c r="C1053" s="128"/>
    </row>
    <row r="1054">
      <c r="A1054" s="128"/>
      <c r="B1054" s="128"/>
      <c r="C1054" s="128"/>
    </row>
    <row r="1055">
      <c r="A1055" s="128"/>
      <c r="B1055" s="128"/>
      <c r="C1055" s="128"/>
    </row>
    <row r="1056">
      <c r="A1056" s="128"/>
      <c r="B1056" s="128"/>
      <c r="C1056" s="128"/>
    </row>
    <row r="1057">
      <c r="A1057" s="128"/>
      <c r="B1057" s="128"/>
      <c r="C1057" s="128"/>
    </row>
    <row r="1058">
      <c r="A1058" s="128"/>
      <c r="B1058" s="128"/>
      <c r="C1058" s="128"/>
    </row>
    <row r="1059">
      <c r="A1059" s="128"/>
      <c r="B1059" s="128"/>
      <c r="C1059" s="128"/>
    </row>
    <row r="1060">
      <c r="A1060" s="128"/>
      <c r="B1060" s="128"/>
      <c r="C1060" s="128"/>
    </row>
    <row r="1061">
      <c r="A1061" s="128"/>
      <c r="B1061" s="128"/>
      <c r="C1061" s="128"/>
    </row>
    <row r="1062">
      <c r="A1062" s="128"/>
      <c r="B1062" s="128"/>
      <c r="C1062" s="128"/>
    </row>
    <row r="1063">
      <c r="A1063" s="128"/>
      <c r="B1063" s="128"/>
      <c r="C1063" s="128"/>
    </row>
    <row r="1064">
      <c r="A1064" s="128"/>
      <c r="B1064" s="128"/>
      <c r="C1064" s="128"/>
    </row>
    <row r="1065">
      <c r="A1065" s="128"/>
      <c r="B1065" s="128"/>
      <c r="C1065" s="128"/>
    </row>
    <row r="1066">
      <c r="A1066" s="128"/>
      <c r="B1066" s="128"/>
      <c r="C1066" s="128"/>
    </row>
    <row r="1067">
      <c r="A1067" s="128"/>
      <c r="B1067" s="128"/>
      <c r="C1067" s="128"/>
    </row>
    <row r="1068">
      <c r="A1068" s="128"/>
      <c r="B1068" s="128"/>
      <c r="C1068" s="128"/>
    </row>
    <row r="1069">
      <c r="A1069" s="128"/>
      <c r="B1069" s="128"/>
      <c r="C1069" s="128"/>
    </row>
    <row r="1070">
      <c r="A1070" s="128"/>
      <c r="B1070" s="128"/>
      <c r="C1070" s="128"/>
    </row>
    <row r="1071">
      <c r="A1071" s="128"/>
      <c r="B1071" s="128"/>
      <c r="C1071" s="128"/>
    </row>
    <row r="1072">
      <c r="A1072" s="128"/>
      <c r="B1072" s="128"/>
      <c r="C1072" s="128"/>
    </row>
    <row r="1073">
      <c r="A1073" s="128"/>
      <c r="B1073" s="128"/>
      <c r="C1073" s="128"/>
    </row>
    <row r="1074">
      <c r="A1074" s="128"/>
      <c r="B1074" s="128"/>
      <c r="C1074" s="128"/>
    </row>
    <row r="1075">
      <c r="A1075" s="128"/>
      <c r="B1075" s="128"/>
      <c r="C1075" s="128"/>
    </row>
    <row r="1076">
      <c r="A1076" s="128"/>
      <c r="B1076" s="128"/>
      <c r="C1076" s="128"/>
    </row>
    <row r="1077">
      <c r="A1077" s="128"/>
      <c r="B1077" s="128"/>
      <c r="C1077" s="128"/>
    </row>
    <row r="1078">
      <c r="A1078" s="128"/>
      <c r="B1078" s="128"/>
      <c r="C1078" s="128"/>
    </row>
    <row r="1079">
      <c r="A1079" s="128"/>
      <c r="B1079" s="128"/>
      <c r="C1079" s="128"/>
    </row>
    <row r="1080">
      <c r="A1080" s="128"/>
      <c r="B1080" s="128"/>
      <c r="C1080" s="128"/>
    </row>
    <row r="1081">
      <c r="A1081" s="128"/>
      <c r="B1081" s="128"/>
      <c r="C1081" s="128"/>
    </row>
    <row r="1082">
      <c r="A1082" s="128"/>
      <c r="B1082" s="128"/>
      <c r="C1082" s="128"/>
    </row>
    <row r="1083">
      <c r="A1083" s="128"/>
      <c r="B1083" s="128"/>
      <c r="C1083" s="128"/>
    </row>
    <row r="1084">
      <c r="A1084" s="128"/>
      <c r="B1084" s="128"/>
      <c r="C1084" s="128"/>
    </row>
    <row r="1085">
      <c r="A1085" s="128"/>
      <c r="B1085" s="128"/>
      <c r="C1085" s="128"/>
    </row>
    <row r="1086">
      <c r="A1086" s="128"/>
      <c r="B1086" s="128"/>
      <c r="C1086" s="128"/>
    </row>
    <row r="1087">
      <c r="A1087" s="128"/>
      <c r="B1087" s="128"/>
      <c r="C1087" s="128"/>
    </row>
    <row r="1088">
      <c r="A1088" s="128"/>
      <c r="B1088" s="128"/>
      <c r="C1088" s="128"/>
    </row>
    <row r="1089">
      <c r="A1089" s="128"/>
      <c r="B1089" s="128"/>
      <c r="C1089" s="128"/>
    </row>
    <row r="1090">
      <c r="A1090" s="128"/>
      <c r="B1090" s="128"/>
      <c r="C1090" s="128"/>
    </row>
    <row r="1091">
      <c r="A1091" s="128"/>
      <c r="B1091" s="128"/>
      <c r="C1091" s="128"/>
    </row>
    <row r="1092">
      <c r="A1092" s="128"/>
      <c r="B1092" s="128"/>
      <c r="C1092" s="128"/>
    </row>
    <row r="1093">
      <c r="A1093" s="128"/>
      <c r="B1093" s="128"/>
      <c r="C1093" s="128"/>
    </row>
    <row r="1094">
      <c r="A1094" s="128"/>
      <c r="B1094" s="128"/>
      <c r="C1094" s="128"/>
    </row>
    <row r="1095">
      <c r="A1095" s="128"/>
      <c r="B1095" s="128"/>
      <c r="C1095" s="128"/>
    </row>
    <row r="1096">
      <c r="A1096" s="128"/>
      <c r="B1096" s="128"/>
      <c r="C1096" s="128"/>
    </row>
    <row r="1097">
      <c r="A1097" s="128"/>
      <c r="B1097" s="128"/>
      <c r="C1097" s="128"/>
    </row>
    <row r="1098">
      <c r="A1098" s="128"/>
      <c r="B1098" s="128"/>
      <c r="C1098" s="128"/>
    </row>
    <row r="1099">
      <c r="A1099" s="128"/>
      <c r="B1099" s="128"/>
      <c r="C1099" s="128"/>
    </row>
    <row r="1100">
      <c r="A1100" s="128"/>
      <c r="B1100" s="128"/>
      <c r="C1100" s="128"/>
    </row>
    <row r="1101">
      <c r="A1101" s="128"/>
      <c r="B1101" s="128"/>
      <c r="C1101" s="128"/>
    </row>
    <row r="1102">
      <c r="A1102" s="128"/>
      <c r="B1102" s="128"/>
      <c r="C1102" s="128"/>
    </row>
    <row r="1103">
      <c r="A1103" s="128"/>
      <c r="B1103" s="128"/>
      <c r="C1103" s="128"/>
    </row>
    <row r="1104">
      <c r="A1104" s="128"/>
      <c r="B1104" s="128"/>
      <c r="C1104" s="128"/>
    </row>
    <row r="1105">
      <c r="A1105" s="128"/>
      <c r="B1105" s="128"/>
      <c r="C1105" s="128"/>
    </row>
    <row r="1106">
      <c r="A1106" s="128"/>
      <c r="B1106" s="128"/>
      <c r="C1106" s="128"/>
    </row>
    <row r="1107">
      <c r="A1107" s="128"/>
      <c r="B1107" s="128"/>
      <c r="C1107" s="128"/>
    </row>
    <row r="1108">
      <c r="A1108" s="128"/>
      <c r="B1108" s="128"/>
      <c r="C1108" s="128"/>
    </row>
    <row r="1109">
      <c r="A1109" s="128"/>
      <c r="B1109" s="128"/>
      <c r="C1109" s="128"/>
    </row>
    <row r="1110">
      <c r="A1110" s="128"/>
      <c r="B1110" s="128"/>
      <c r="C1110" s="128"/>
    </row>
    <row r="1111">
      <c r="A1111" s="128"/>
      <c r="B1111" s="128"/>
      <c r="C1111" s="128"/>
    </row>
    <row r="1112">
      <c r="A1112" s="128"/>
      <c r="B1112" s="128"/>
      <c r="C1112" s="128"/>
    </row>
    <row r="1113">
      <c r="A1113" s="128"/>
      <c r="B1113" s="128"/>
      <c r="C1113" s="128"/>
    </row>
    <row r="1114">
      <c r="A1114" s="128"/>
      <c r="B1114" s="128"/>
      <c r="C1114" s="128"/>
    </row>
    <row r="1115">
      <c r="A1115" s="128"/>
      <c r="B1115" s="128"/>
      <c r="C1115" s="128"/>
    </row>
    <row r="1116">
      <c r="A1116" s="128"/>
      <c r="B1116" s="128"/>
      <c r="C1116" s="128"/>
    </row>
    <row r="1117">
      <c r="A1117" s="128"/>
      <c r="B1117" s="128"/>
      <c r="C1117" s="128"/>
    </row>
    <row r="1118">
      <c r="A1118" s="128"/>
      <c r="B1118" s="128"/>
      <c r="C1118" s="128"/>
    </row>
    <row r="1119">
      <c r="A1119" s="128"/>
      <c r="B1119" s="128"/>
      <c r="C1119" s="128"/>
    </row>
    <row r="1120">
      <c r="A1120" s="128"/>
      <c r="B1120" s="128"/>
      <c r="C1120" s="128"/>
    </row>
    <row r="1121">
      <c r="A1121" s="128"/>
      <c r="B1121" s="128"/>
      <c r="C1121" s="128"/>
    </row>
    <row r="1122">
      <c r="A1122" s="128"/>
      <c r="B1122" s="128"/>
      <c r="C1122" s="128"/>
    </row>
    <row r="1123">
      <c r="A1123" s="128"/>
      <c r="B1123" s="128"/>
      <c r="C1123" s="128"/>
    </row>
    <row r="1124">
      <c r="A1124" s="128"/>
      <c r="B1124" s="128"/>
      <c r="C1124" s="128"/>
    </row>
    <row r="1125">
      <c r="A1125" s="128"/>
      <c r="B1125" s="128"/>
      <c r="C1125" s="128"/>
    </row>
    <row r="1126">
      <c r="A1126" s="128"/>
      <c r="B1126" s="128"/>
      <c r="C1126" s="128"/>
    </row>
    <row r="1127">
      <c r="A1127" s="128"/>
      <c r="B1127" s="128"/>
      <c r="C1127" s="128"/>
    </row>
    <row r="1128">
      <c r="A1128" s="128"/>
      <c r="B1128" s="128"/>
      <c r="C1128" s="128"/>
    </row>
    <row r="1129">
      <c r="A1129" s="128"/>
      <c r="B1129" s="128"/>
      <c r="C1129" s="128"/>
    </row>
    <row r="1130">
      <c r="A1130" s="128"/>
      <c r="B1130" s="128"/>
      <c r="C1130" s="128"/>
    </row>
    <row r="1131">
      <c r="A1131" s="128"/>
      <c r="B1131" s="128"/>
      <c r="C1131" s="128"/>
    </row>
    <row r="1132">
      <c r="A1132" s="128"/>
      <c r="B1132" s="128"/>
      <c r="C1132" s="128"/>
    </row>
    <row r="1133">
      <c r="A1133" s="128"/>
      <c r="B1133" s="128"/>
      <c r="C1133" s="128"/>
    </row>
    <row r="1134">
      <c r="A1134" s="128"/>
      <c r="B1134" s="128"/>
      <c r="C1134" s="128"/>
    </row>
    <row r="1135">
      <c r="A1135" s="128"/>
      <c r="B1135" s="128"/>
      <c r="C1135" s="128"/>
    </row>
    <row r="1136">
      <c r="A1136" s="128"/>
      <c r="B1136" s="128"/>
      <c r="C1136" s="128"/>
    </row>
    <row r="1137">
      <c r="A1137" s="128"/>
      <c r="B1137" s="128"/>
      <c r="C1137" s="128"/>
    </row>
    <row r="1138">
      <c r="A1138" s="128"/>
      <c r="B1138" s="128"/>
      <c r="C1138" s="128"/>
    </row>
    <row r="1139">
      <c r="A1139" s="128"/>
      <c r="B1139" s="128"/>
      <c r="C1139" s="128"/>
    </row>
    <row r="1140">
      <c r="A1140" s="128"/>
      <c r="B1140" s="128"/>
      <c r="C1140" s="128"/>
    </row>
    <row r="1141">
      <c r="A1141" s="128"/>
      <c r="B1141" s="128"/>
      <c r="C1141" s="128"/>
    </row>
    <row r="1142">
      <c r="A1142" s="128"/>
      <c r="B1142" s="128"/>
      <c r="C1142" s="128"/>
    </row>
    <row r="1143">
      <c r="A1143" s="128"/>
      <c r="B1143" s="128"/>
      <c r="C1143" s="128"/>
    </row>
    <row r="1144">
      <c r="A1144" s="128"/>
      <c r="B1144" s="128"/>
      <c r="C1144" s="128"/>
    </row>
    <row r="1145">
      <c r="A1145" s="128"/>
      <c r="B1145" s="128"/>
      <c r="C1145" s="128"/>
    </row>
    <row r="1146">
      <c r="A1146" s="128"/>
      <c r="B1146" s="128"/>
      <c r="C1146" s="128"/>
    </row>
    <row r="1147">
      <c r="A1147" s="128"/>
      <c r="B1147" s="128"/>
      <c r="C1147" s="128"/>
    </row>
    <row r="1148">
      <c r="A1148" s="128"/>
      <c r="B1148" s="128"/>
      <c r="C1148" s="128"/>
    </row>
    <row r="1149">
      <c r="A1149" s="128"/>
      <c r="B1149" s="128"/>
      <c r="C1149" s="128"/>
    </row>
    <row r="1150">
      <c r="A1150" s="128"/>
      <c r="B1150" s="128"/>
      <c r="C1150" s="128"/>
    </row>
    <row r="1151">
      <c r="A1151" s="128"/>
      <c r="B1151" s="128"/>
      <c r="C1151" s="128"/>
    </row>
    <row r="1152">
      <c r="A1152" s="128"/>
      <c r="B1152" s="128"/>
      <c r="C1152" s="128"/>
    </row>
    <row r="1153">
      <c r="A1153" s="128"/>
      <c r="B1153" s="128"/>
      <c r="C1153" s="128"/>
    </row>
    <row r="1154">
      <c r="A1154" s="128"/>
      <c r="B1154" s="128"/>
      <c r="C1154" s="128"/>
    </row>
    <row r="1155">
      <c r="A1155" s="128"/>
      <c r="B1155" s="128"/>
      <c r="C1155" s="128"/>
    </row>
    <row r="1156">
      <c r="A1156" s="128"/>
      <c r="B1156" s="128"/>
      <c r="C1156" s="128"/>
    </row>
    <row r="1157">
      <c r="A1157" s="128"/>
      <c r="B1157" s="128"/>
      <c r="C1157" s="128"/>
    </row>
    <row r="1158">
      <c r="A1158" s="128"/>
      <c r="B1158" s="128"/>
      <c r="C1158" s="128"/>
    </row>
    <row r="1159">
      <c r="A1159" s="128"/>
      <c r="B1159" s="128"/>
      <c r="C1159" s="128"/>
    </row>
    <row r="1160">
      <c r="A1160" s="128"/>
      <c r="B1160" s="128"/>
      <c r="C1160" s="128"/>
    </row>
    <row r="1161">
      <c r="A1161" s="128"/>
      <c r="B1161" s="128"/>
      <c r="C1161" s="128"/>
    </row>
    <row r="1162">
      <c r="A1162" s="128"/>
      <c r="B1162" s="128"/>
      <c r="C1162" s="128"/>
    </row>
    <row r="1163">
      <c r="A1163" s="128"/>
      <c r="B1163" s="128"/>
      <c r="C1163" s="128"/>
    </row>
    <row r="1164">
      <c r="A1164" s="128"/>
      <c r="B1164" s="128"/>
      <c r="C1164" s="128"/>
    </row>
    <row r="1165">
      <c r="A1165" s="128"/>
      <c r="B1165" s="128"/>
      <c r="C1165" s="128"/>
    </row>
    <row r="1166">
      <c r="A1166" s="128"/>
      <c r="B1166" s="128"/>
      <c r="C1166" s="128"/>
    </row>
    <row r="1167">
      <c r="A1167" s="128"/>
      <c r="B1167" s="128"/>
      <c r="C1167" s="128"/>
    </row>
    <row r="1168">
      <c r="A1168" s="128"/>
      <c r="B1168" s="128"/>
      <c r="C1168" s="128"/>
    </row>
    <row r="1169">
      <c r="A1169" s="128"/>
      <c r="B1169" s="128"/>
      <c r="C1169" s="128"/>
    </row>
    <row r="1170">
      <c r="A1170" s="128"/>
      <c r="B1170" s="128"/>
      <c r="C1170" s="128"/>
    </row>
    <row r="1171">
      <c r="A1171" s="128"/>
      <c r="B1171" s="128"/>
      <c r="C1171" s="128"/>
    </row>
    <row r="1172">
      <c r="A1172" s="128"/>
      <c r="B1172" s="128"/>
      <c r="C1172" s="128"/>
    </row>
    <row r="1173">
      <c r="A1173" s="128"/>
      <c r="B1173" s="128"/>
      <c r="C1173" s="128"/>
    </row>
    <row r="1174">
      <c r="A1174" s="128"/>
      <c r="B1174" s="128"/>
      <c r="C1174" s="128"/>
    </row>
    <row r="1175">
      <c r="A1175" s="128"/>
      <c r="B1175" s="128"/>
      <c r="C1175" s="128"/>
    </row>
    <row r="1176">
      <c r="A1176" s="128"/>
      <c r="B1176" s="128"/>
      <c r="C1176" s="128"/>
    </row>
    <row r="1177">
      <c r="A1177" s="128"/>
      <c r="B1177" s="128"/>
      <c r="C1177" s="128"/>
    </row>
    <row r="1178">
      <c r="A1178" s="128"/>
      <c r="B1178" s="128"/>
      <c r="C1178" s="128"/>
    </row>
    <row r="1179">
      <c r="A1179" s="128"/>
      <c r="B1179" s="128"/>
      <c r="C1179" s="128"/>
    </row>
    <row r="1180">
      <c r="A1180" s="128"/>
      <c r="B1180" s="128"/>
      <c r="C1180" s="128"/>
    </row>
    <row r="1181">
      <c r="A1181" s="128"/>
      <c r="B1181" s="128"/>
      <c r="C1181" s="128"/>
    </row>
    <row r="1182">
      <c r="A1182" s="128"/>
      <c r="B1182" s="128"/>
      <c r="C1182" s="128"/>
    </row>
    <row r="1183">
      <c r="A1183" s="128"/>
      <c r="B1183" s="128"/>
      <c r="C1183" s="128"/>
    </row>
    <row r="1184">
      <c r="A1184" s="128"/>
      <c r="B1184" s="128"/>
      <c r="C1184" s="128"/>
    </row>
    <row r="1185">
      <c r="A1185" s="128"/>
      <c r="B1185" s="128"/>
      <c r="C1185" s="128"/>
    </row>
    <row r="1186">
      <c r="A1186" s="128"/>
      <c r="B1186" s="128"/>
      <c r="C1186" s="128"/>
    </row>
    <row r="1187">
      <c r="A1187" s="128"/>
      <c r="B1187" s="128"/>
      <c r="C1187" s="128"/>
    </row>
    <row r="1188">
      <c r="A1188" s="128"/>
      <c r="B1188" s="128"/>
      <c r="C1188" s="128"/>
    </row>
    <row r="1189">
      <c r="A1189" s="128"/>
      <c r="B1189" s="128"/>
      <c r="C1189" s="128"/>
    </row>
    <row r="1190">
      <c r="A1190" s="128"/>
      <c r="B1190" s="128"/>
      <c r="C1190" s="128"/>
    </row>
    <row r="1191">
      <c r="A1191" s="128"/>
      <c r="B1191" s="128"/>
      <c r="C1191" s="128"/>
    </row>
    <row r="1192">
      <c r="A1192" s="128"/>
      <c r="B1192" s="128"/>
      <c r="C1192" s="128"/>
    </row>
    <row r="1193">
      <c r="A1193" s="128"/>
      <c r="B1193" s="128"/>
      <c r="C1193" s="128"/>
    </row>
    <row r="1194">
      <c r="A1194" s="128"/>
      <c r="B1194" s="128"/>
      <c r="C1194" s="128"/>
    </row>
    <row r="1195">
      <c r="A1195" s="128"/>
      <c r="B1195" s="128"/>
      <c r="C1195" s="128"/>
    </row>
    <row r="1196">
      <c r="A1196" s="128"/>
      <c r="B1196" s="128"/>
      <c r="C1196" s="128"/>
    </row>
    <row r="1197">
      <c r="A1197" s="128"/>
      <c r="B1197" s="128"/>
      <c r="C1197" s="128"/>
    </row>
    <row r="1198">
      <c r="A1198" s="128"/>
      <c r="B1198" s="128"/>
      <c r="C1198" s="128"/>
    </row>
    <row r="1199">
      <c r="A1199" s="128"/>
      <c r="B1199" s="128"/>
      <c r="C1199" s="128"/>
    </row>
    <row r="1200">
      <c r="A1200" s="128"/>
      <c r="B1200" s="128"/>
      <c r="C1200" s="128"/>
    </row>
    <row r="1201">
      <c r="A1201" s="128"/>
      <c r="B1201" s="128"/>
      <c r="C1201" s="128"/>
    </row>
    <row r="1202">
      <c r="A1202" s="128"/>
      <c r="B1202" s="128"/>
      <c r="C1202" s="128"/>
    </row>
    <row r="1203">
      <c r="A1203" s="128"/>
      <c r="B1203" s="128"/>
      <c r="C1203" s="128"/>
    </row>
    <row r="1204">
      <c r="A1204" s="128"/>
      <c r="B1204" s="128"/>
      <c r="C1204" s="128"/>
    </row>
    <row r="1205">
      <c r="A1205" s="128"/>
      <c r="B1205" s="128"/>
      <c r="C1205" s="128"/>
    </row>
    <row r="1206">
      <c r="A1206" s="128"/>
      <c r="B1206" s="128"/>
      <c r="C1206" s="128"/>
    </row>
    <row r="1207">
      <c r="A1207" s="128"/>
      <c r="B1207" s="128"/>
      <c r="C1207" s="128"/>
    </row>
    <row r="1208">
      <c r="A1208" s="128"/>
      <c r="B1208" s="128"/>
      <c r="C1208" s="128"/>
    </row>
    <row r="1209">
      <c r="A1209" s="128"/>
      <c r="B1209" s="128"/>
      <c r="C1209" s="128"/>
    </row>
    <row r="1210">
      <c r="A1210" s="128"/>
      <c r="B1210" s="128"/>
      <c r="C1210" s="128"/>
    </row>
    <row r="1211">
      <c r="A1211" s="128"/>
      <c r="B1211" s="128"/>
      <c r="C1211" s="128"/>
    </row>
    <row r="1212">
      <c r="A1212" s="128"/>
      <c r="B1212" s="128"/>
      <c r="C1212" s="128"/>
    </row>
    <row r="1213">
      <c r="A1213" s="128"/>
      <c r="B1213" s="128"/>
      <c r="C1213" s="128"/>
    </row>
    <row r="1214">
      <c r="A1214" s="128"/>
      <c r="B1214" s="128"/>
      <c r="C1214" s="128"/>
    </row>
    <row r="1215">
      <c r="A1215" s="128"/>
      <c r="B1215" s="128"/>
      <c r="C1215" s="128"/>
    </row>
    <row r="1216">
      <c r="A1216" s="128"/>
      <c r="B1216" s="128"/>
      <c r="C1216" s="128"/>
    </row>
    <row r="1217">
      <c r="A1217" s="128"/>
      <c r="B1217" s="128"/>
      <c r="C1217" s="128"/>
    </row>
    <row r="1218">
      <c r="A1218" s="128"/>
      <c r="B1218" s="128"/>
      <c r="C1218" s="128"/>
    </row>
    <row r="1219">
      <c r="A1219" s="128"/>
      <c r="B1219" s="128"/>
      <c r="C1219" s="128"/>
    </row>
    <row r="1220">
      <c r="A1220" s="128"/>
      <c r="B1220" s="128"/>
      <c r="C1220" s="128"/>
    </row>
    <row r="1221">
      <c r="A1221" s="128"/>
      <c r="B1221" s="128"/>
      <c r="C1221" s="128"/>
    </row>
    <row r="1222">
      <c r="A1222" s="128"/>
      <c r="B1222" s="128"/>
      <c r="C1222" s="128"/>
    </row>
    <row r="1223">
      <c r="A1223" s="128"/>
      <c r="B1223" s="128"/>
      <c r="C1223" s="128"/>
    </row>
    <row r="1224">
      <c r="A1224" s="128"/>
      <c r="B1224" s="128"/>
      <c r="C1224" s="128"/>
    </row>
    <row r="1225">
      <c r="A1225" s="128"/>
      <c r="B1225" s="128"/>
      <c r="C1225" s="128"/>
    </row>
    <row r="1226">
      <c r="A1226" s="128"/>
      <c r="B1226" s="128"/>
      <c r="C1226" s="128"/>
    </row>
    <row r="1227">
      <c r="A1227" s="128"/>
      <c r="B1227" s="128"/>
      <c r="C1227" s="128"/>
    </row>
    <row r="1228">
      <c r="A1228" s="128"/>
      <c r="B1228" s="128"/>
      <c r="C1228" s="128"/>
    </row>
    <row r="1229">
      <c r="A1229" s="128"/>
      <c r="B1229" s="128"/>
      <c r="C1229" s="128"/>
    </row>
    <row r="1230">
      <c r="A1230" s="128"/>
      <c r="B1230" s="128"/>
      <c r="C1230" s="128"/>
    </row>
    <row r="1231">
      <c r="A1231" s="128"/>
      <c r="B1231" s="128"/>
      <c r="C1231" s="128"/>
    </row>
    <row r="1232">
      <c r="A1232" s="128"/>
      <c r="B1232" s="128"/>
      <c r="C1232" s="128"/>
    </row>
    <row r="1233">
      <c r="A1233" s="128"/>
      <c r="B1233" s="128"/>
      <c r="C1233" s="128"/>
    </row>
    <row r="1234">
      <c r="A1234" s="128"/>
      <c r="B1234" s="128"/>
      <c r="C1234" s="128"/>
    </row>
    <row r="1235">
      <c r="A1235" s="128"/>
      <c r="B1235" s="128"/>
      <c r="C1235" s="128"/>
    </row>
    <row r="1236">
      <c r="A1236" s="128"/>
      <c r="B1236" s="128"/>
      <c r="C1236" s="128"/>
    </row>
    <row r="1237">
      <c r="A1237" s="128"/>
      <c r="B1237" s="128"/>
      <c r="C1237" s="128"/>
    </row>
    <row r="1238">
      <c r="A1238" s="128"/>
      <c r="B1238" s="128"/>
      <c r="C1238" s="128"/>
    </row>
    <row r="1239">
      <c r="A1239" s="128"/>
      <c r="B1239" s="128"/>
      <c r="C1239" s="128"/>
    </row>
    <row r="1240">
      <c r="A1240" s="128"/>
      <c r="B1240" s="128"/>
      <c r="C1240" s="128"/>
    </row>
    <row r="1241">
      <c r="A1241" s="128"/>
      <c r="B1241" s="128"/>
      <c r="C1241" s="128"/>
    </row>
    <row r="1242">
      <c r="A1242" s="128"/>
      <c r="B1242" s="128"/>
      <c r="C1242" s="128"/>
    </row>
    <row r="1243">
      <c r="A1243" s="128"/>
      <c r="B1243" s="128"/>
      <c r="C1243" s="128"/>
    </row>
    <row r="1244">
      <c r="A1244" s="128"/>
      <c r="B1244" s="128"/>
      <c r="C1244" s="128"/>
    </row>
    <row r="1245">
      <c r="A1245" s="128"/>
      <c r="B1245" s="128"/>
      <c r="C1245" s="128"/>
    </row>
    <row r="1246">
      <c r="A1246" s="128"/>
      <c r="B1246" s="128"/>
      <c r="C1246" s="128"/>
    </row>
    <row r="1247">
      <c r="A1247" s="128"/>
      <c r="B1247" s="128"/>
      <c r="C1247" s="128"/>
    </row>
    <row r="1248">
      <c r="A1248" s="128"/>
      <c r="B1248" s="128"/>
      <c r="C1248" s="128"/>
    </row>
    <row r="1249">
      <c r="A1249" s="128"/>
      <c r="B1249" s="128"/>
      <c r="C1249" s="128"/>
    </row>
    <row r="1250">
      <c r="A1250" s="128"/>
      <c r="B1250" s="128"/>
      <c r="C1250" s="128"/>
    </row>
    <row r="1251">
      <c r="A1251" s="128"/>
      <c r="B1251" s="128"/>
      <c r="C1251" s="128"/>
    </row>
    <row r="1252">
      <c r="A1252" s="128"/>
      <c r="B1252" s="128"/>
      <c r="C1252" s="128"/>
    </row>
    <row r="1253">
      <c r="A1253" s="128"/>
      <c r="B1253" s="128"/>
      <c r="C1253" s="128"/>
    </row>
    <row r="1254">
      <c r="A1254" s="128"/>
      <c r="B1254" s="128"/>
      <c r="C1254" s="128"/>
    </row>
    <row r="1255">
      <c r="A1255" s="128"/>
      <c r="B1255" s="128"/>
      <c r="C1255" s="128"/>
    </row>
    <row r="1256">
      <c r="A1256" s="128"/>
      <c r="B1256" s="128"/>
      <c r="C1256" s="128"/>
    </row>
    <row r="1257">
      <c r="A1257" s="128"/>
      <c r="B1257" s="128"/>
      <c r="C1257" s="128"/>
    </row>
    <row r="1258">
      <c r="A1258" s="128"/>
      <c r="B1258" s="128"/>
      <c r="C1258" s="128"/>
    </row>
    <row r="1259">
      <c r="A1259" s="128"/>
      <c r="B1259" s="128"/>
      <c r="C1259" s="128"/>
    </row>
    <row r="1260">
      <c r="A1260" s="128"/>
      <c r="B1260" s="128"/>
      <c r="C1260" s="128"/>
    </row>
    <row r="1261">
      <c r="A1261" s="128"/>
      <c r="B1261" s="128"/>
      <c r="C1261" s="128"/>
    </row>
    <row r="1262">
      <c r="A1262" s="128"/>
      <c r="B1262" s="128"/>
      <c r="C1262" s="128"/>
    </row>
    <row r="1263">
      <c r="A1263" s="128"/>
      <c r="B1263" s="128"/>
      <c r="C1263" s="128"/>
    </row>
    <row r="1264">
      <c r="A1264" s="128"/>
      <c r="B1264" s="128"/>
      <c r="C1264" s="128"/>
    </row>
    <row r="1265">
      <c r="A1265" s="128"/>
      <c r="B1265" s="128"/>
      <c r="C1265" s="128"/>
    </row>
    <row r="1266">
      <c r="A1266" s="128"/>
      <c r="B1266" s="128"/>
      <c r="C1266" s="128"/>
    </row>
    <row r="1267">
      <c r="A1267" s="128"/>
      <c r="B1267" s="128"/>
      <c r="C1267" s="128"/>
    </row>
    <row r="1268">
      <c r="A1268" s="128"/>
      <c r="B1268" s="128"/>
      <c r="C1268" s="128"/>
    </row>
    <row r="1269">
      <c r="A1269" s="128"/>
      <c r="B1269" s="128"/>
      <c r="C1269" s="128"/>
    </row>
    <row r="1270">
      <c r="A1270" s="128"/>
      <c r="B1270" s="128"/>
      <c r="C1270" s="128"/>
    </row>
    <row r="1271">
      <c r="A1271" s="128"/>
      <c r="B1271" s="128"/>
      <c r="C1271" s="128"/>
    </row>
    <row r="1272">
      <c r="A1272" s="128"/>
      <c r="B1272" s="128"/>
      <c r="C1272" s="128"/>
    </row>
    <row r="1273">
      <c r="A1273" s="128"/>
      <c r="B1273" s="128"/>
      <c r="C1273" s="128"/>
    </row>
    <row r="1274">
      <c r="A1274" s="128"/>
      <c r="B1274" s="128"/>
      <c r="C1274" s="128"/>
    </row>
    <row r="1275">
      <c r="A1275" s="128"/>
      <c r="B1275" s="128"/>
      <c r="C1275" s="128"/>
    </row>
    <row r="1276">
      <c r="A1276" s="128"/>
      <c r="B1276" s="128"/>
      <c r="C1276" s="128"/>
    </row>
    <row r="1277">
      <c r="A1277" s="128"/>
      <c r="B1277" s="128"/>
      <c r="C1277" s="128"/>
    </row>
    <row r="1278">
      <c r="A1278" s="128"/>
      <c r="B1278" s="128"/>
      <c r="C1278" s="128"/>
    </row>
    <row r="1279">
      <c r="A1279" s="128"/>
      <c r="B1279" s="128"/>
      <c r="C1279" s="128"/>
    </row>
    <row r="1280">
      <c r="A1280" s="128"/>
      <c r="B1280" s="128"/>
      <c r="C1280" s="128"/>
    </row>
    <row r="1281">
      <c r="A1281" s="128"/>
      <c r="B1281" s="128"/>
      <c r="C1281" s="128"/>
    </row>
    <row r="1282">
      <c r="A1282" s="128"/>
      <c r="B1282" s="128"/>
      <c r="C1282" s="128"/>
    </row>
    <row r="1283">
      <c r="A1283" s="128"/>
      <c r="B1283" s="128"/>
      <c r="C1283" s="128"/>
    </row>
    <row r="1284">
      <c r="A1284" s="128"/>
      <c r="B1284" s="128"/>
      <c r="C1284" s="128"/>
    </row>
    <row r="1285">
      <c r="A1285" s="128"/>
      <c r="B1285" s="128"/>
      <c r="C1285" s="128"/>
    </row>
    <row r="1286">
      <c r="A1286" s="128"/>
      <c r="B1286" s="128"/>
      <c r="C1286" s="128"/>
    </row>
    <row r="1287">
      <c r="A1287" s="128"/>
      <c r="B1287" s="128"/>
      <c r="C1287" s="128"/>
    </row>
    <row r="1288">
      <c r="A1288" s="128"/>
      <c r="B1288" s="128"/>
      <c r="C1288" s="128"/>
    </row>
    <row r="1289">
      <c r="A1289" s="128"/>
      <c r="B1289" s="128"/>
      <c r="C1289" s="128"/>
    </row>
    <row r="1290">
      <c r="A1290" s="128"/>
      <c r="B1290" s="128"/>
      <c r="C1290" s="128"/>
    </row>
    <row r="1291">
      <c r="A1291" s="128"/>
      <c r="B1291" s="128"/>
      <c r="C1291" s="128"/>
    </row>
    <row r="1292">
      <c r="A1292" s="128"/>
      <c r="B1292" s="128"/>
      <c r="C1292" s="128"/>
    </row>
    <row r="1293">
      <c r="A1293" s="128"/>
      <c r="B1293" s="128"/>
      <c r="C1293" s="128"/>
    </row>
    <row r="1294">
      <c r="A1294" s="128"/>
      <c r="B1294" s="128"/>
      <c r="C1294" s="128"/>
    </row>
    <row r="1295">
      <c r="A1295" s="128"/>
      <c r="B1295" s="128"/>
      <c r="C1295" s="128"/>
    </row>
    <row r="1296">
      <c r="A1296" s="128"/>
      <c r="B1296" s="128"/>
      <c r="C1296" s="128"/>
    </row>
    <row r="1297">
      <c r="A1297" s="128"/>
      <c r="B1297" s="128"/>
      <c r="C1297" s="128"/>
    </row>
    <row r="1298">
      <c r="A1298" s="128"/>
      <c r="B1298" s="128"/>
      <c r="C1298" s="128"/>
    </row>
    <row r="1299">
      <c r="A1299" s="128"/>
      <c r="B1299" s="128"/>
      <c r="C1299" s="128"/>
    </row>
    <row r="1300">
      <c r="A1300" s="128"/>
      <c r="B1300" s="128"/>
      <c r="C1300" s="128"/>
    </row>
    <row r="1301">
      <c r="A1301" s="128"/>
      <c r="B1301" s="128"/>
      <c r="C1301" s="128"/>
    </row>
    <row r="1302">
      <c r="A1302" s="128"/>
      <c r="B1302" s="128"/>
      <c r="C1302" s="128"/>
    </row>
    <row r="1303">
      <c r="A1303" s="128"/>
      <c r="B1303" s="128"/>
      <c r="C1303" s="128"/>
    </row>
    <row r="1304">
      <c r="A1304" s="128"/>
      <c r="B1304" s="128"/>
      <c r="C1304" s="128"/>
    </row>
    <row r="1305">
      <c r="A1305" s="128"/>
      <c r="B1305" s="128"/>
      <c r="C1305" s="128"/>
    </row>
    <row r="1306">
      <c r="A1306" s="128"/>
      <c r="B1306" s="128"/>
      <c r="C1306" s="128"/>
    </row>
    <row r="1307">
      <c r="A1307" s="128"/>
      <c r="B1307" s="128"/>
      <c r="C1307" s="128"/>
    </row>
    <row r="1308">
      <c r="A1308" s="128"/>
      <c r="B1308" s="128"/>
      <c r="C1308" s="128"/>
    </row>
    <row r="1309">
      <c r="A1309" s="128"/>
      <c r="B1309" s="128"/>
      <c r="C1309" s="128"/>
    </row>
    <row r="1310">
      <c r="A1310" s="128"/>
      <c r="B1310" s="128"/>
      <c r="C1310" s="128"/>
    </row>
    <row r="1311">
      <c r="A1311" s="128"/>
      <c r="B1311" s="128"/>
      <c r="C1311" s="128"/>
    </row>
    <row r="1312">
      <c r="A1312" s="128"/>
      <c r="B1312" s="128"/>
      <c r="C1312" s="128"/>
    </row>
    <row r="1313">
      <c r="A1313" s="128"/>
      <c r="B1313" s="128"/>
      <c r="C1313" s="128"/>
    </row>
    <row r="1314">
      <c r="A1314" s="128"/>
      <c r="B1314" s="128"/>
      <c r="C1314" s="128"/>
    </row>
    <row r="1315">
      <c r="A1315" s="128"/>
      <c r="B1315" s="128"/>
      <c r="C1315" s="128"/>
    </row>
    <row r="1316">
      <c r="A1316" s="128"/>
      <c r="B1316" s="128"/>
      <c r="C1316" s="128"/>
    </row>
    <row r="1317">
      <c r="A1317" s="128"/>
      <c r="B1317" s="128"/>
      <c r="C1317" s="128"/>
    </row>
    <row r="1318">
      <c r="A1318" s="128"/>
      <c r="B1318" s="128"/>
      <c r="C1318" s="128"/>
    </row>
    <row r="1319">
      <c r="A1319" s="128"/>
      <c r="B1319" s="128"/>
      <c r="C1319" s="128"/>
    </row>
    <row r="1320">
      <c r="A1320" s="128"/>
      <c r="B1320" s="128"/>
      <c r="C1320" s="128"/>
    </row>
    <row r="1321">
      <c r="A1321" s="128"/>
      <c r="B1321" s="128"/>
      <c r="C1321" s="128"/>
    </row>
    <row r="1322">
      <c r="A1322" s="128"/>
      <c r="B1322" s="128"/>
      <c r="C1322" s="128"/>
    </row>
    <row r="1323">
      <c r="A1323" s="128"/>
      <c r="B1323" s="128"/>
      <c r="C1323" s="128"/>
    </row>
    <row r="1324">
      <c r="A1324" s="128"/>
      <c r="B1324" s="128"/>
      <c r="C1324" s="128"/>
    </row>
    <row r="1325">
      <c r="A1325" s="128"/>
      <c r="B1325" s="128"/>
      <c r="C1325" s="128"/>
    </row>
    <row r="1326">
      <c r="A1326" s="128"/>
      <c r="B1326" s="128"/>
      <c r="C1326" s="128"/>
    </row>
    <row r="1327">
      <c r="A1327" s="128"/>
      <c r="B1327" s="128"/>
      <c r="C1327" s="128"/>
    </row>
    <row r="1328">
      <c r="A1328" s="128"/>
      <c r="B1328" s="128"/>
      <c r="C1328" s="128"/>
    </row>
    <row r="1329">
      <c r="A1329" s="128"/>
      <c r="B1329" s="128"/>
      <c r="C1329" s="128"/>
    </row>
    <row r="1330">
      <c r="A1330" s="128"/>
      <c r="B1330" s="128"/>
      <c r="C1330" s="128"/>
    </row>
    <row r="1331">
      <c r="A1331" s="128"/>
      <c r="B1331" s="128"/>
      <c r="C1331" s="128"/>
    </row>
    <row r="1332">
      <c r="A1332" s="128"/>
      <c r="B1332" s="128"/>
      <c r="C1332" s="128"/>
    </row>
    <row r="1333">
      <c r="A1333" s="128"/>
      <c r="B1333" s="128"/>
      <c r="C1333" s="128"/>
    </row>
    <row r="1334">
      <c r="A1334" s="128"/>
      <c r="B1334" s="128"/>
      <c r="C1334" s="128"/>
    </row>
    <row r="1335">
      <c r="A1335" s="128"/>
      <c r="B1335" s="128"/>
      <c r="C1335" s="128"/>
    </row>
    <row r="1336">
      <c r="A1336" s="128"/>
      <c r="B1336" s="128"/>
      <c r="C1336" s="128"/>
    </row>
    <row r="1337">
      <c r="A1337" s="128"/>
      <c r="B1337" s="128"/>
      <c r="C1337" s="128"/>
    </row>
    <row r="1338">
      <c r="A1338" s="128"/>
      <c r="B1338" s="128"/>
      <c r="C1338" s="128"/>
    </row>
    <row r="1339">
      <c r="A1339" s="128"/>
      <c r="B1339" s="128"/>
      <c r="C1339" s="128"/>
    </row>
    <row r="1340">
      <c r="A1340" s="128"/>
      <c r="B1340" s="128"/>
      <c r="C1340" s="128"/>
    </row>
    <row r="1341">
      <c r="A1341" s="128"/>
      <c r="B1341" s="128"/>
      <c r="C1341" s="128"/>
    </row>
    <row r="1342">
      <c r="A1342" s="128"/>
      <c r="B1342" s="128"/>
      <c r="C1342" s="128"/>
    </row>
    <row r="1343">
      <c r="A1343" s="128"/>
      <c r="B1343" s="128"/>
      <c r="C1343" s="128"/>
    </row>
    <row r="1344">
      <c r="A1344" s="128"/>
      <c r="B1344" s="128"/>
      <c r="C1344" s="128"/>
    </row>
    <row r="1345">
      <c r="A1345" s="128"/>
      <c r="B1345" s="128"/>
      <c r="C1345" s="128"/>
    </row>
    <row r="1346">
      <c r="A1346" s="128"/>
      <c r="B1346" s="128"/>
      <c r="C1346" s="128"/>
    </row>
    <row r="1347">
      <c r="A1347" s="128"/>
      <c r="B1347" s="128"/>
      <c r="C1347" s="128"/>
    </row>
    <row r="1348">
      <c r="A1348" s="128"/>
      <c r="B1348" s="128"/>
      <c r="C1348" s="128"/>
    </row>
    <row r="1349">
      <c r="A1349" s="128"/>
      <c r="B1349" s="128"/>
      <c r="C1349" s="128"/>
    </row>
    <row r="1350">
      <c r="A1350" s="128"/>
      <c r="B1350" s="128"/>
      <c r="C1350" s="128"/>
    </row>
    <row r="1351">
      <c r="A1351" s="128"/>
      <c r="B1351" s="128"/>
      <c r="C1351" s="128"/>
    </row>
    <row r="1352">
      <c r="A1352" s="128"/>
      <c r="B1352" s="128"/>
      <c r="C1352" s="128"/>
    </row>
    <row r="1353">
      <c r="A1353" s="128"/>
      <c r="B1353" s="128"/>
      <c r="C1353" s="128"/>
    </row>
    <row r="1354">
      <c r="A1354" s="128"/>
      <c r="B1354" s="128"/>
      <c r="C1354" s="128"/>
    </row>
    <row r="1355">
      <c r="A1355" s="128"/>
      <c r="B1355" s="128"/>
      <c r="C1355" s="128"/>
    </row>
    <row r="1356">
      <c r="A1356" s="128"/>
      <c r="B1356" s="128"/>
      <c r="C1356" s="128"/>
    </row>
    <row r="1357">
      <c r="A1357" s="128"/>
      <c r="B1357" s="128"/>
      <c r="C1357" s="128"/>
    </row>
    <row r="1358">
      <c r="A1358" s="128"/>
      <c r="B1358" s="128"/>
      <c r="C1358" s="128"/>
    </row>
    <row r="1359">
      <c r="A1359" s="128"/>
      <c r="B1359" s="128"/>
      <c r="C1359" s="128"/>
    </row>
    <row r="1360">
      <c r="A1360" s="128"/>
      <c r="B1360" s="128"/>
      <c r="C1360" s="128"/>
    </row>
    <row r="1361">
      <c r="A1361" s="128"/>
      <c r="B1361" s="128"/>
      <c r="C1361" s="128"/>
    </row>
    <row r="1362">
      <c r="A1362" s="128"/>
      <c r="B1362" s="128"/>
      <c r="C1362" s="128"/>
    </row>
    <row r="1363">
      <c r="A1363" s="128"/>
      <c r="B1363" s="128"/>
      <c r="C1363" s="128"/>
    </row>
    <row r="1364">
      <c r="A1364" s="128"/>
      <c r="B1364" s="128"/>
      <c r="C1364" s="128"/>
    </row>
    <row r="1365">
      <c r="A1365" s="128"/>
      <c r="B1365" s="128"/>
      <c r="C1365" s="128"/>
    </row>
    <row r="1366">
      <c r="A1366" s="128"/>
      <c r="B1366" s="128"/>
      <c r="C1366" s="128"/>
    </row>
    <row r="1367">
      <c r="A1367" s="128"/>
      <c r="B1367" s="128"/>
      <c r="C1367" s="128"/>
    </row>
    <row r="1368">
      <c r="A1368" s="128"/>
      <c r="B1368" s="128"/>
      <c r="C1368" s="128"/>
    </row>
    <row r="1369">
      <c r="A1369" s="128"/>
      <c r="B1369" s="128"/>
      <c r="C1369" s="128"/>
    </row>
    <row r="1370">
      <c r="A1370" s="128"/>
      <c r="B1370" s="128"/>
      <c r="C1370" s="128"/>
    </row>
    <row r="1371">
      <c r="A1371" s="128"/>
      <c r="B1371" s="128"/>
      <c r="C1371" s="128"/>
    </row>
    <row r="1372">
      <c r="A1372" s="128"/>
      <c r="B1372" s="128"/>
      <c r="C1372" s="128"/>
    </row>
    <row r="1373">
      <c r="A1373" s="128"/>
      <c r="B1373" s="128"/>
      <c r="C1373" s="128"/>
    </row>
    <row r="1374">
      <c r="A1374" s="128"/>
      <c r="B1374" s="128"/>
      <c r="C1374" s="128"/>
    </row>
    <row r="1375">
      <c r="A1375" s="128"/>
      <c r="B1375" s="128"/>
      <c r="C1375" s="128"/>
    </row>
    <row r="1376">
      <c r="A1376" s="128"/>
      <c r="B1376" s="128"/>
      <c r="C1376" s="128"/>
    </row>
    <row r="1377">
      <c r="A1377" s="128"/>
      <c r="B1377" s="128"/>
      <c r="C1377" s="128"/>
    </row>
    <row r="1378">
      <c r="A1378" s="128"/>
      <c r="B1378" s="128"/>
      <c r="C1378" s="128"/>
    </row>
    <row r="1379">
      <c r="A1379" s="128"/>
      <c r="B1379" s="128"/>
      <c r="C1379" s="128"/>
    </row>
    <row r="1380">
      <c r="A1380" s="128"/>
      <c r="B1380" s="128"/>
      <c r="C1380" s="128"/>
    </row>
    <row r="1381">
      <c r="A1381" s="128"/>
      <c r="B1381" s="128"/>
      <c r="C1381" s="128"/>
    </row>
    <row r="1382">
      <c r="A1382" s="128"/>
      <c r="B1382" s="128"/>
      <c r="C1382" s="128"/>
    </row>
    <row r="1383">
      <c r="A1383" s="128"/>
      <c r="B1383" s="128"/>
      <c r="C1383" s="128"/>
    </row>
    <row r="1384">
      <c r="A1384" s="128"/>
      <c r="B1384" s="128"/>
      <c r="C1384" s="128"/>
    </row>
    <row r="1385">
      <c r="A1385" s="128"/>
      <c r="B1385" s="128"/>
      <c r="C1385" s="128"/>
    </row>
    <row r="1386">
      <c r="A1386" s="128"/>
      <c r="B1386" s="128"/>
      <c r="C1386" s="128"/>
    </row>
    <row r="1387">
      <c r="A1387" s="128"/>
      <c r="B1387" s="128"/>
      <c r="C1387" s="128"/>
    </row>
    <row r="1388">
      <c r="A1388" s="128"/>
      <c r="B1388" s="128"/>
      <c r="C1388" s="128"/>
    </row>
    <row r="1389">
      <c r="A1389" s="128"/>
      <c r="B1389" s="128"/>
      <c r="C1389" s="128"/>
    </row>
    <row r="1390">
      <c r="A1390" s="128"/>
      <c r="B1390" s="128"/>
      <c r="C1390" s="128"/>
    </row>
    <row r="1391">
      <c r="A1391" s="128"/>
      <c r="B1391" s="128"/>
      <c r="C1391" s="128"/>
    </row>
    <row r="1392">
      <c r="A1392" s="128"/>
      <c r="B1392" s="128"/>
      <c r="C1392" s="128"/>
    </row>
    <row r="1393">
      <c r="A1393" s="128"/>
      <c r="B1393" s="128"/>
      <c r="C1393" s="128"/>
    </row>
    <row r="1394">
      <c r="A1394" s="128"/>
      <c r="B1394" s="128"/>
      <c r="C1394" s="128"/>
    </row>
    <row r="1395">
      <c r="A1395" s="128"/>
      <c r="B1395" s="128"/>
      <c r="C1395" s="128"/>
    </row>
    <row r="1396">
      <c r="A1396" s="128"/>
      <c r="B1396" s="128"/>
      <c r="C1396" s="128"/>
    </row>
    <row r="1397">
      <c r="A1397" s="128"/>
      <c r="B1397" s="128"/>
      <c r="C1397" s="128"/>
    </row>
    <row r="1398">
      <c r="A1398" s="128"/>
      <c r="B1398" s="128"/>
      <c r="C1398" s="128"/>
    </row>
    <row r="1399">
      <c r="A1399" s="128"/>
      <c r="B1399" s="128"/>
      <c r="C1399" s="128"/>
    </row>
    <row r="1400">
      <c r="A1400" s="128"/>
      <c r="B1400" s="128"/>
      <c r="C1400" s="128"/>
    </row>
    <row r="1401">
      <c r="A1401" s="128"/>
      <c r="B1401" s="128"/>
      <c r="C1401" s="128"/>
    </row>
    <row r="1402">
      <c r="A1402" s="128"/>
      <c r="B1402" s="128"/>
      <c r="C1402" s="128"/>
    </row>
    <row r="1403">
      <c r="A1403" s="128"/>
      <c r="B1403" s="128"/>
      <c r="C1403" s="128"/>
    </row>
    <row r="1404">
      <c r="A1404" s="128"/>
      <c r="B1404" s="128"/>
      <c r="C1404" s="128"/>
    </row>
    <row r="1405">
      <c r="A1405" s="128"/>
      <c r="B1405" s="128"/>
      <c r="C1405" s="128"/>
    </row>
    <row r="1406">
      <c r="A1406" s="128"/>
      <c r="B1406" s="128"/>
      <c r="C1406" s="128"/>
    </row>
    <row r="1407">
      <c r="A1407" s="128"/>
      <c r="B1407" s="128"/>
      <c r="C1407" s="128"/>
    </row>
    <row r="1408">
      <c r="A1408" s="128"/>
      <c r="B1408" s="128"/>
      <c r="C1408" s="128"/>
    </row>
    <row r="1409">
      <c r="A1409" s="128"/>
      <c r="B1409" s="128"/>
      <c r="C1409" s="128"/>
    </row>
    <row r="1410">
      <c r="A1410" s="128"/>
      <c r="B1410" s="128"/>
      <c r="C1410" s="128"/>
    </row>
    <row r="1411">
      <c r="A1411" s="128"/>
      <c r="B1411" s="128"/>
      <c r="C1411" s="128"/>
    </row>
    <row r="1412">
      <c r="A1412" s="128"/>
      <c r="B1412" s="128"/>
      <c r="C1412" s="128"/>
    </row>
    <row r="1413">
      <c r="A1413" s="128"/>
      <c r="B1413" s="128"/>
      <c r="C1413" s="128"/>
    </row>
    <row r="1414">
      <c r="A1414" s="128"/>
      <c r="B1414" s="128"/>
      <c r="C1414" s="128"/>
    </row>
    <row r="1415">
      <c r="A1415" s="128"/>
      <c r="B1415" s="128"/>
      <c r="C1415" s="128"/>
    </row>
    <row r="1416">
      <c r="A1416" s="128"/>
      <c r="B1416" s="128"/>
      <c r="C1416" s="128"/>
    </row>
    <row r="1417">
      <c r="A1417" s="128"/>
      <c r="B1417" s="128"/>
      <c r="C1417" s="128"/>
    </row>
    <row r="1418">
      <c r="A1418" s="128"/>
      <c r="B1418" s="128"/>
      <c r="C1418" s="128"/>
    </row>
    <row r="1419">
      <c r="A1419" s="128"/>
      <c r="B1419" s="128"/>
      <c r="C1419" s="128"/>
    </row>
    <row r="1420">
      <c r="A1420" s="128"/>
      <c r="B1420" s="128"/>
      <c r="C1420" s="128"/>
    </row>
    <row r="1421">
      <c r="A1421" s="128"/>
      <c r="B1421" s="128"/>
      <c r="C1421" s="128"/>
    </row>
    <row r="1422">
      <c r="A1422" s="128"/>
      <c r="B1422" s="128"/>
      <c r="C1422" s="128"/>
    </row>
    <row r="1423">
      <c r="A1423" s="128"/>
      <c r="B1423" s="128"/>
      <c r="C1423" s="128"/>
    </row>
    <row r="1424">
      <c r="A1424" s="128"/>
      <c r="B1424" s="128"/>
      <c r="C1424" s="128"/>
    </row>
    <row r="1425">
      <c r="A1425" s="128"/>
      <c r="B1425" s="128"/>
      <c r="C1425" s="128"/>
    </row>
    <row r="1426">
      <c r="A1426" s="128"/>
      <c r="B1426" s="128"/>
      <c r="C1426" s="128"/>
    </row>
    <row r="1427">
      <c r="A1427" s="128"/>
      <c r="B1427" s="128"/>
      <c r="C1427" s="128"/>
    </row>
    <row r="1428">
      <c r="A1428" s="128"/>
      <c r="B1428" s="128"/>
      <c r="C1428" s="128"/>
    </row>
    <row r="1429">
      <c r="A1429" s="128"/>
      <c r="B1429" s="128"/>
      <c r="C1429" s="128"/>
    </row>
    <row r="1430">
      <c r="A1430" s="128"/>
      <c r="B1430" s="128"/>
      <c r="C1430" s="128"/>
    </row>
    <row r="1431">
      <c r="A1431" s="128"/>
      <c r="B1431" s="128"/>
      <c r="C1431" s="128"/>
    </row>
    <row r="1432">
      <c r="A1432" s="128"/>
      <c r="B1432" s="128"/>
      <c r="C1432" s="128"/>
    </row>
    <row r="1433">
      <c r="A1433" s="128"/>
      <c r="B1433" s="128"/>
      <c r="C1433" s="128"/>
    </row>
    <row r="1434">
      <c r="A1434" s="128"/>
      <c r="B1434" s="128"/>
      <c r="C1434" s="128"/>
    </row>
    <row r="1435">
      <c r="A1435" s="128"/>
      <c r="B1435" s="128"/>
      <c r="C1435" s="128"/>
    </row>
    <row r="1436">
      <c r="A1436" s="128"/>
      <c r="B1436" s="128"/>
      <c r="C1436" s="128"/>
    </row>
    <row r="1437">
      <c r="A1437" s="128"/>
      <c r="B1437" s="128"/>
      <c r="C1437" s="128"/>
    </row>
    <row r="1438">
      <c r="A1438" s="128"/>
      <c r="B1438" s="128"/>
      <c r="C1438" s="128"/>
    </row>
    <row r="1439">
      <c r="A1439" s="128"/>
      <c r="B1439" s="128"/>
      <c r="C1439" s="128"/>
    </row>
    <row r="1440">
      <c r="A1440" s="128"/>
      <c r="B1440" s="128"/>
      <c r="C1440" s="128"/>
    </row>
    <row r="1441">
      <c r="A1441" s="128"/>
      <c r="B1441" s="128"/>
      <c r="C1441" s="128"/>
    </row>
    <row r="1442">
      <c r="A1442" s="128"/>
      <c r="B1442" s="128"/>
      <c r="C1442" s="128"/>
    </row>
    <row r="1443">
      <c r="A1443" s="128"/>
      <c r="B1443" s="128"/>
      <c r="C1443" s="128"/>
    </row>
    <row r="1444">
      <c r="A1444" s="128"/>
      <c r="B1444" s="128"/>
      <c r="C1444" s="128"/>
    </row>
    <row r="1445">
      <c r="A1445" s="128"/>
      <c r="B1445" s="128"/>
      <c r="C1445" s="128"/>
    </row>
    <row r="1446">
      <c r="A1446" s="128"/>
      <c r="B1446" s="128"/>
      <c r="C1446" s="128"/>
    </row>
    <row r="1447">
      <c r="A1447" s="128"/>
      <c r="B1447" s="128"/>
      <c r="C1447" s="128"/>
    </row>
    <row r="1448">
      <c r="A1448" s="128"/>
      <c r="B1448" s="128"/>
      <c r="C1448" s="128"/>
    </row>
    <row r="1449">
      <c r="A1449" s="128"/>
      <c r="B1449" s="128"/>
      <c r="C1449" s="128"/>
    </row>
    <row r="1450">
      <c r="A1450" s="128"/>
      <c r="B1450" s="128"/>
      <c r="C1450" s="128"/>
    </row>
    <row r="1451">
      <c r="A1451" s="128"/>
      <c r="B1451" s="128"/>
      <c r="C1451" s="128"/>
    </row>
    <row r="1452">
      <c r="A1452" s="128"/>
      <c r="B1452" s="128"/>
      <c r="C1452" s="128"/>
    </row>
    <row r="1453">
      <c r="A1453" s="128"/>
      <c r="B1453" s="128"/>
      <c r="C1453" s="128"/>
    </row>
    <row r="1454">
      <c r="A1454" s="128"/>
      <c r="B1454" s="128"/>
      <c r="C1454" s="128"/>
    </row>
    <row r="1455">
      <c r="A1455" s="128"/>
      <c r="B1455" s="128"/>
      <c r="C1455" s="128"/>
    </row>
    <row r="1456">
      <c r="A1456" s="128"/>
      <c r="B1456" s="128"/>
      <c r="C1456" s="128"/>
    </row>
    <row r="1457">
      <c r="A1457" s="128"/>
      <c r="B1457" s="128"/>
      <c r="C1457" s="128"/>
    </row>
    <row r="1458">
      <c r="A1458" s="128"/>
      <c r="B1458" s="128"/>
      <c r="C1458" s="128"/>
    </row>
    <row r="1459">
      <c r="A1459" s="128"/>
      <c r="B1459" s="128"/>
      <c r="C1459" s="128"/>
    </row>
    <row r="1460">
      <c r="A1460" s="128"/>
      <c r="B1460" s="128"/>
      <c r="C1460" s="128"/>
    </row>
    <row r="1461">
      <c r="A1461" s="128"/>
      <c r="B1461" s="128"/>
      <c r="C1461" s="128"/>
    </row>
    <row r="1462">
      <c r="A1462" s="128"/>
      <c r="B1462" s="128"/>
      <c r="C1462" s="128"/>
    </row>
    <row r="1463">
      <c r="A1463" s="128"/>
      <c r="B1463" s="128"/>
      <c r="C1463" s="128"/>
    </row>
    <row r="1464">
      <c r="A1464" s="128"/>
      <c r="B1464" s="128"/>
      <c r="C1464" s="128"/>
    </row>
    <row r="1465">
      <c r="A1465" s="128"/>
      <c r="B1465" s="128"/>
      <c r="C1465" s="128"/>
    </row>
    <row r="1466">
      <c r="A1466" s="128"/>
      <c r="B1466" s="128"/>
      <c r="C1466" s="128"/>
    </row>
    <row r="1467">
      <c r="A1467" s="128"/>
      <c r="B1467" s="128"/>
      <c r="C1467" s="128"/>
    </row>
    <row r="1468">
      <c r="A1468" s="128"/>
      <c r="B1468" s="128"/>
      <c r="C1468" s="128"/>
    </row>
    <row r="1469">
      <c r="A1469" s="128"/>
      <c r="B1469" s="128"/>
      <c r="C1469" s="128"/>
    </row>
    <row r="1470">
      <c r="A1470" s="128"/>
      <c r="B1470" s="128"/>
      <c r="C1470" s="128"/>
    </row>
    <row r="1471">
      <c r="A1471" s="128"/>
      <c r="B1471" s="128"/>
      <c r="C1471" s="128"/>
    </row>
    <row r="1472">
      <c r="A1472" s="128"/>
      <c r="B1472" s="128"/>
      <c r="C1472" s="128"/>
    </row>
    <row r="1473">
      <c r="A1473" s="128"/>
      <c r="B1473" s="128"/>
      <c r="C1473" s="128"/>
    </row>
    <row r="1474">
      <c r="A1474" s="128"/>
      <c r="B1474" s="128"/>
      <c r="C1474" s="128"/>
    </row>
    <row r="1475">
      <c r="A1475" s="128"/>
      <c r="B1475" s="128"/>
      <c r="C1475" s="128"/>
    </row>
    <row r="1476">
      <c r="A1476" s="128"/>
      <c r="B1476" s="128"/>
      <c r="C1476" s="128"/>
    </row>
    <row r="1477">
      <c r="A1477" s="128"/>
      <c r="B1477" s="128"/>
      <c r="C1477" s="128"/>
    </row>
    <row r="1478">
      <c r="A1478" s="128"/>
      <c r="B1478" s="128"/>
      <c r="C1478" s="128"/>
    </row>
    <row r="1479">
      <c r="A1479" s="128"/>
      <c r="B1479" s="128"/>
      <c r="C1479" s="128"/>
    </row>
    <row r="1480">
      <c r="A1480" s="128"/>
      <c r="B1480" s="128"/>
      <c r="C1480" s="128"/>
    </row>
    <row r="1481">
      <c r="A1481" s="128"/>
      <c r="B1481" s="128"/>
      <c r="C1481" s="128"/>
    </row>
    <row r="1482">
      <c r="A1482" s="128"/>
      <c r="B1482" s="128"/>
      <c r="C1482" s="128"/>
    </row>
    <row r="1483">
      <c r="A1483" s="128"/>
      <c r="B1483" s="128"/>
      <c r="C1483" s="128"/>
    </row>
    <row r="1484">
      <c r="A1484" s="128"/>
      <c r="B1484" s="128"/>
      <c r="C1484" s="128"/>
    </row>
    <row r="1485">
      <c r="A1485" s="128"/>
      <c r="B1485" s="128"/>
      <c r="C1485" s="128"/>
    </row>
    <row r="1486">
      <c r="A1486" s="128"/>
      <c r="B1486" s="128"/>
      <c r="C1486" s="128"/>
    </row>
    <row r="1487">
      <c r="A1487" s="128"/>
      <c r="B1487" s="128"/>
      <c r="C1487" s="128"/>
    </row>
    <row r="1488">
      <c r="A1488" s="128"/>
      <c r="B1488" s="128"/>
      <c r="C1488" s="128"/>
    </row>
    <row r="1489">
      <c r="A1489" s="128"/>
      <c r="B1489" s="128"/>
      <c r="C1489" s="128"/>
    </row>
    <row r="1490">
      <c r="A1490" s="128"/>
      <c r="B1490" s="128"/>
      <c r="C1490" s="128"/>
    </row>
    <row r="1491">
      <c r="A1491" s="128"/>
      <c r="B1491" s="128"/>
      <c r="C1491" s="128"/>
    </row>
    <row r="1492">
      <c r="A1492" s="128"/>
      <c r="B1492" s="128"/>
      <c r="C1492" s="128"/>
    </row>
    <row r="1493">
      <c r="A1493" s="128"/>
      <c r="B1493" s="128"/>
      <c r="C1493" s="128"/>
    </row>
    <row r="1494">
      <c r="A1494" s="128"/>
      <c r="B1494" s="128"/>
      <c r="C1494" s="128"/>
    </row>
    <row r="1495">
      <c r="A1495" s="128"/>
      <c r="B1495" s="128"/>
      <c r="C1495" s="128"/>
    </row>
    <row r="1496">
      <c r="A1496" s="128"/>
      <c r="B1496" s="128"/>
      <c r="C1496" s="128"/>
    </row>
    <row r="1497">
      <c r="A1497" s="128"/>
      <c r="B1497" s="128"/>
      <c r="C1497" s="128"/>
    </row>
    <row r="1498">
      <c r="A1498" s="128"/>
      <c r="B1498" s="128"/>
      <c r="C1498" s="128"/>
    </row>
    <row r="1499">
      <c r="A1499" s="128"/>
      <c r="B1499" s="128"/>
      <c r="C1499" s="128"/>
    </row>
    <row r="1500">
      <c r="A1500" s="128"/>
      <c r="B1500" s="128"/>
      <c r="C1500" s="128"/>
    </row>
    <row r="1501">
      <c r="A1501" s="128"/>
      <c r="B1501" s="128"/>
      <c r="C1501" s="128"/>
    </row>
    <row r="1502">
      <c r="A1502" s="128"/>
      <c r="B1502" s="128"/>
      <c r="C1502" s="128"/>
    </row>
    <row r="1503">
      <c r="A1503" s="128"/>
      <c r="B1503" s="128"/>
      <c r="C1503" s="128"/>
    </row>
    <row r="1504">
      <c r="A1504" s="128"/>
      <c r="B1504" s="128"/>
      <c r="C1504" s="128"/>
    </row>
    <row r="1505">
      <c r="A1505" s="128"/>
      <c r="B1505" s="128"/>
      <c r="C1505" s="128"/>
    </row>
    <row r="1506">
      <c r="A1506" s="128"/>
      <c r="B1506" s="128"/>
      <c r="C1506" s="128"/>
    </row>
    <row r="1507">
      <c r="A1507" s="128"/>
      <c r="B1507" s="128"/>
      <c r="C1507" s="128"/>
    </row>
    <row r="1508">
      <c r="A1508" s="128"/>
      <c r="B1508" s="128"/>
      <c r="C1508" s="128"/>
    </row>
    <row r="1509">
      <c r="A1509" s="128"/>
      <c r="B1509" s="128"/>
      <c r="C1509" s="128"/>
    </row>
    <row r="1510">
      <c r="A1510" s="128"/>
      <c r="B1510" s="128"/>
      <c r="C1510" s="128"/>
    </row>
    <row r="1511">
      <c r="A1511" s="128"/>
      <c r="B1511" s="128"/>
      <c r="C1511" s="128"/>
    </row>
    <row r="1512">
      <c r="A1512" s="128"/>
      <c r="B1512" s="128"/>
      <c r="C1512" s="128"/>
    </row>
    <row r="1513">
      <c r="A1513" s="128"/>
      <c r="B1513" s="128"/>
      <c r="C1513" s="128"/>
    </row>
    <row r="1514">
      <c r="A1514" s="128"/>
      <c r="B1514" s="128"/>
      <c r="C1514" s="128"/>
    </row>
    <row r="1515">
      <c r="A1515" s="128"/>
      <c r="B1515" s="128"/>
      <c r="C1515" s="128"/>
    </row>
    <row r="1516">
      <c r="A1516" s="128"/>
      <c r="B1516" s="128"/>
      <c r="C1516" s="128"/>
    </row>
    <row r="1517">
      <c r="A1517" s="128"/>
      <c r="B1517" s="128"/>
      <c r="C1517" s="128"/>
    </row>
    <row r="1518">
      <c r="A1518" s="128"/>
      <c r="B1518" s="128"/>
      <c r="C1518" s="128"/>
    </row>
    <row r="1519">
      <c r="A1519" s="128"/>
      <c r="B1519" s="128"/>
      <c r="C1519" s="128"/>
    </row>
    <row r="1520">
      <c r="A1520" s="128"/>
      <c r="B1520" s="128"/>
      <c r="C1520" s="128"/>
    </row>
    <row r="1521">
      <c r="A1521" s="128"/>
      <c r="B1521" s="128"/>
      <c r="C1521" s="128"/>
    </row>
    <row r="1522">
      <c r="A1522" s="128"/>
      <c r="B1522" s="128"/>
      <c r="C1522" s="128"/>
    </row>
    <row r="1523">
      <c r="A1523" s="128"/>
      <c r="B1523" s="128"/>
      <c r="C1523" s="128"/>
    </row>
    <row r="1524">
      <c r="A1524" s="128"/>
      <c r="B1524" s="128"/>
      <c r="C1524" s="128"/>
    </row>
    <row r="1525">
      <c r="A1525" s="128"/>
      <c r="B1525" s="128"/>
      <c r="C1525" s="128"/>
    </row>
    <row r="1526">
      <c r="A1526" s="128"/>
      <c r="B1526" s="128"/>
      <c r="C1526" s="128"/>
    </row>
    <row r="1527">
      <c r="A1527" s="128"/>
      <c r="B1527" s="128"/>
      <c r="C1527" s="128"/>
    </row>
    <row r="1528">
      <c r="A1528" s="128"/>
      <c r="B1528" s="128"/>
      <c r="C1528" s="128"/>
    </row>
    <row r="1529">
      <c r="A1529" s="128"/>
      <c r="B1529" s="128"/>
      <c r="C1529" s="128"/>
    </row>
    <row r="1530">
      <c r="A1530" s="128"/>
      <c r="B1530" s="128"/>
      <c r="C1530" s="128"/>
    </row>
    <row r="1531">
      <c r="A1531" s="128"/>
      <c r="B1531" s="128"/>
      <c r="C1531" s="128"/>
    </row>
    <row r="1532">
      <c r="A1532" s="128"/>
      <c r="B1532" s="128"/>
      <c r="C1532" s="128"/>
    </row>
    <row r="1533">
      <c r="A1533" s="128"/>
      <c r="B1533" s="128"/>
      <c r="C1533" s="128"/>
    </row>
    <row r="1534">
      <c r="A1534" s="128"/>
      <c r="B1534" s="128"/>
      <c r="C1534" s="128"/>
    </row>
    <row r="1535">
      <c r="A1535" s="128"/>
      <c r="B1535" s="128"/>
      <c r="C1535" s="128"/>
    </row>
    <row r="1536">
      <c r="A1536" s="128"/>
      <c r="B1536" s="128"/>
      <c r="C1536" s="128"/>
    </row>
    <row r="1537">
      <c r="A1537" s="128"/>
      <c r="B1537" s="128"/>
      <c r="C1537" s="128"/>
    </row>
    <row r="1538">
      <c r="A1538" s="128"/>
      <c r="B1538" s="128"/>
      <c r="C1538" s="128"/>
    </row>
    <row r="1539">
      <c r="A1539" s="128"/>
      <c r="B1539" s="128"/>
      <c r="C1539" s="128"/>
    </row>
    <row r="1540">
      <c r="A1540" s="128"/>
      <c r="B1540" s="128"/>
      <c r="C1540" s="128"/>
    </row>
    <row r="1541">
      <c r="A1541" s="128"/>
      <c r="B1541" s="128"/>
      <c r="C1541" s="128"/>
    </row>
    <row r="1542">
      <c r="A1542" s="128"/>
      <c r="B1542" s="128"/>
      <c r="C1542" s="128"/>
    </row>
    <row r="1543">
      <c r="A1543" s="128"/>
      <c r="B1543" s="128"/>
      <c r="C1543" s="128"/>
    </row>
    <row r="1544">
      <c r="A1544" s="128"/>
      <c r="B1544" s="128"/>
      <c r="C1544" s="128"/>
    </row>
    <row r="1545">
      <c r="A1545" s="128"/>
      <c r="B1545" s="128"/>
      <c r="C1545" s="128"/>
    </row>
    <row r="1546">
      <c r="A1546" s="128"/>
      <c r="B1546" s="128"/>
      <c r="C1546" s="128"/>
    </row>
    <row r="1547">
      <c r="A1547" s="128"/>
      <c r="B1547" s="128"/>
      <c r="C1547" s="128"/>
    </row>
    <row r="1548">
      <c r="A1548" s="128"/>
      <c r="B1548" s="128"/>
      <c r="C1548" s="128"/>
    </row>
    <row r="1549">
      <c r="A1549" s="128"/>
      <c r="B1549" s="128"/>
      <c r="C1549" s="128"/>
    </row>
    <row r="1550">
      <c r="A1550" s="128"/>
      <c r="B1550" s="128"/>
      <c r="C1550" s="128"/>
    </row>
    <row r="1551">
      <c r="A1551" s="128"/>
      <c r="B1551" s="128"/>
      <c r="C1551" s="128"/>
    </row>
    <row r="1552">
      <c r="A1552" s="128"/>
      <c r="B1552" s="128"/>
      <c r="C1552" s="128"/>
    </row>
    <row r="1553">
      <c r="A1553" s="128"/>
      <c r="B1553" s="128"/>
      <c r="C1553" s="128"/>
    </row>
    <row r="1554">
      <c r="A1554" s="128"/>
      <c r="B1554" s="128"/>
      <c r="C1554" s="128"/>
    </row>
    <row r="1555">
      <c r="A1555" s="128"/>
      <c r="B1555" s="128"/>
      <c r="C1555" s="128"/>
    </row>
    <row r="1556">
      <c r="A1556" s="128"/>
      <c r="B1556" s="128"/>
      <c r="C1556" s="128"/>
    </row>
    <row r="1557">
      <c r="A1557" s="128"/>
      <c r="B1557" s="128"/>
      <c r="C1557" s="128"/>
    </row>
    <row r="1558">
      <c r="A1558" s="128"/>
      <c r="B1558" s="128"/>
      <c r="C1558" s="128"/>
    </row>
    <row r="1559">
      <c r="A1559" s="128"/>
      <c r="B1559" s="128"/>
      <c r="C1559" s="128"/>
    </row>
    <row r="1560">
      <c r="A1560" s="128"/>
      <c r="B1560" s="128"/>
      <c r="C1560" s="128"/>
    </row>
    <row r="1561">
      <c r="A1561" s="128"/>
      <c r="B1561" s="128"/>
      <c r="C1561" s="128"/>
    </row>
    <row r="1562">
      <c r="A1562" s="128"/>
      <c r="B1562" s="128"/>
      <c r="C1562" s="128"/>
    </row>
    <row r="1563">
      <c r="A1563" s="128"/>
      <c r="B1563" s="128"/>
      <c r="C1563" s="128"/>
    </row>
    <row r="1564">
      <c r="A1564" s="128"/>
      <c r="B1564" s="128"/>
      <c r="C1564" s="128"/>
    </row>
    <row r="1565">
      <c r="A1565" s="128"/>
      <c r="B1565" s="128"/>
      <c r="C1565" s="128"/>
    </row>
    <row r="1566">
      <c r="A1566" s="128"/>
      <c r="B1566" s="128"/>
      <c r="C1566" s="128"/>
    </row>
    <row r="1567">
      <c r="A1567" s="128"/>
      <c r="B1567" s="128"/>
      <c r="C1567" s="128"/>
    </row>
    <row r="1568">
      <c r="A1568" s="128"/>
      <c r="B1568" s="128"/>
      <c r="C1568" s="128"/>
    </row>
    <row r="1569">
      <c r="A1569" s="128"/>
      <c r="B1569" s="128"/>
      <c r="C1569" s="128"/>
    </row>
    <row r="1570">
      <c r="A1570" s="128"/>
      <c r="B1570" s="128"/>
      <c r="C1570" s="128"/>
    </row>
    <row r="1571">
      <c r="A1571" s="128"/>
      <c r="B1571" s="128"/>
      <c r="C1571" s="128"/>
    </row>
    <row r="1572">
      <c r="A1572" s="128"/>
      <c r="B1572" s="128"/>
      <c r="C1572" s="128"/>
    </row>
    <row r="1573">
      <c r="A1573" s="128"/>
      <c r="B1573" s="128"/>
      <c r="C1573" s="128"/>
    </row>
    <row r="1574">
      <c r="A1574" s="128"/>
      <c r="B1574" s="128"/>
      <c r="C1574" s="128"/>
    </row>
    <row r="1575">
      <c r="A1575" s="128"/>
      <c r="B1575" s="128"/>
      <c r="C1575" s="128"/>
    </row>
    <row r="1576">
      <c r="A1576" s="128"/>
      <c r="B1576" s="128"/>
      <c r="C1576" s="128"/>
    </row>
    <row r="1577">
      <c r="A1577" s="128"/>
      <c r="B1577" s="128"/>
      <c r="C1577" s="128"/>
    </row>
    <row r="1578">
      <c r="A1578" s="128"/>
      <c r="B1578" s="128"/>
      <c r="C1578" s="128"/>
    </row>
    <row r="1579">
      <c r="A1579" s="128"/>
      <c r="B1579" s="128"/>
      <c r="C1579" s="128"/>
    </row>
    <row r="1580">
      <c r="A1580" s="128"/>
      <c r="B1580" s="128"/>
      <c r="C1580" s="128"/>
    </row>
    <row r="1581">
      <c r="A1581" s="128"/>
      <c r="B1581" s="128"/>
      <c r="C1581" s="128"/>
    </row>
    <row r="1582">
      <c r="A1582" s="128"/>
      <c r="B1582" s="128"/>
      <c r="C1582" s="128"/>
    </row>
    <row r="1583">
      <c r="A1583" s="128"/>
      <c r="B1583" s="128"/>
      <c r="C1583" s="128"/>
    </row>
    <row r="1584">
      <c r="A1584" s="128"/>
      <c r="B1584" s="128"/>
      <c r="C1584" s="128"/>
    </row>
    <row r="1585">
      <c r="A1585" s="128"/>
      <c r="B1585" s="128"/>
      <c r="C1585" s="128"/>
    </row>
    <row r="1586">
      <c r="A1586" s="128"/>
      <c r="B1586" s="128"/>
      <c r="C1586" s="128"/>
    </row>
    <row r="1587">
      <c r="A1587" s="128"/>
      <c r="B1587" s="128"/>
      <c r="C1587" s="128"/>
    </row>
    <row r="1588">
      <c r="A1588" s="128"/>
      <c r="B1588" s="128"/>
      <c r="C1588" s="128"/>
    </row>
    <row r="1589">
      <c r="A1589" s="128"/>
      <c r="B1589" s="128"/>
      <c r="C1589" s="128"/>
    </row>
    <row r="1590">
      <c r="A1590" s="128"/>
      <c r="B1590" s="128"/>
      <c r="C1590" s="128"/>
    </row>
    <row r="1591">
      <c r="A1591" s="128"/>
      <c r="B1591" s="128"/>
      <c r="C1591" s="128"/>
    </row>
    <row r="1592">
      <c r="A1592" s="128"/>
      <c r="B1592" s="128"/>
      <c r="C1592" s="128"/>
    </row>
    <row r="1593">
      <c r="A1593" s="128"/>
      <c r="B1593" s="128"/>
      <c r="C1593" s="128"/>
    </row>
    <row r="1594">
      <c r="A1594" s="128"/>
      <c r="B1594" s="128"/>
      <c r="C1594" s="128"/>
    </row>
    <row r="1595">
      <c r="A1595" s="128"/>
      <c r="B1595" s="128"/>
      <c r="C1595" s="128"/>
    </row>
    <row r="1596">
      <c r="A1596" s="128"/>
      <c r="B1596" s="128"/>
      <c r="C1596" s="128"/>
    </row>
    <row r="1597">
      <c r="A1597" s="128"/>
      <c r="B1597" s="128"/>
      <c r="C1597" s="128"/>
    </row>
    <row r="1598">
      <c r="A1598" s="128"/>
      <c r="B1598" s="128"/>
      <c r="C1598" s="128"/>
    </row>
    <row r="1599">
      <c r="A1599" s="128"/>
      <c r="B1599" s="128"/>
      <c r="C1599" s="128"/>
    </row>
    <row r="1600">
      <c r="A1600" s="128"/>
      <c r="B1600" s="128"/>
      <c r="C1600" s="128"/>
    </row>
    <row r="1601">
      <c r="A1601" s="128"/>
      <c r="B1601" s="128"/>
      <c r="C1601" s="128"/>
    </row>
    <row r="1602">
      <c r="A1602" s="128"/>
      <c r="B1602" s="128"/>
      <c r="C1602" s="128"/>
    </row>
    <row r="1603">
      <c r="A1603" s="128"/>
      <c r="B1603" s="128"/>
      <c r="C1603" s="128"/>
    </row>
    <row r="1604">
      <c r="A1604" s="128"/>
      <c r="B1604" s="128"/>
      <c r="C1604" s="128"/>
    </row>
    <row r="1605">
      <c r="A1605" s="128"/>
      <c r="B1605" s="128"/>
      <c r="C1605" s="128"/>
    </row>
    <row r="1606">
      <c r="A1606" s="128"/>
      <c r="B1606" s="128"/>
      <c r="C1606" s="128"/>
    </row>
    <row r="1607">
      <c r="A1607" s="128"/>
      <c r="B1607" s="128"/>
      <c r="C1607" s="128"/>
    </row>
    <row r="1608">
      <c r="A1608" s="128"/>
      <c r="B1608" s="128"/>
      <c r="C1608" s="128"/>
    </row>
    <row r="1609">
      <c r="A1609" s="128"/>
      <c r="B1609" s="128"/>
      <c r="C1609" s="128"/>
    </row>
    <row r="1610">
      <c r="A1610" s="128"/>
      <c r="B1610" s="128"/>
      <c r="C1610" s="128"/>
    </row>
    <row r="1611">
      <c r="A1611" s="128"/>
      <c r="B1611" s="128"/>
      <c r="C1611" s="128"/>
    </row>
    <row r="1612">
      <c r="A1612" s="128"/>
      <c r="B1612" s="128"/>
      <c r="C1612" s="128"/>
    </row>
    <row r="1613">
      <c r="A1613" s="128"/>
      <c r="B1613" s="128"/>
      <c r="C1613" s="128"/>
    </row>
    <row r="1614">
      <c r="A1614" s="128"/>
      <c r="B1614" s="128"/>
      <c r="C1614" s="128"/>
    </row>
    <row r="1615">
      <c r="A1615" s="128"/>
      <c r="B1615" s="128"/>
      <c r="C1615" s="128"/>
    </row>
    <row r="1616">
      <c r="A1616" s="128"/>
      <c r="B1616" s="128"/>
      <c r="C1616" s="128"/>
    </row>
    <row r="1617">
      <c r="A1617" s="128"/>
      <c r="B1617" s="128"/>
      <c r="C1617" s="128"/>
    </row>
    <row r="1618">
      <c r="A1618" s="128"/>
      <c r="B1618" s="128"/>
      <c r="C1618" s="128"/>
    </row>
    <row r="1619">
      <c r="A1619" s="128"/>
      <c r="B1619" s="128"/>
      <c r="C1619" s="128"/>
    </row>
    <row r="1620">
      <c r="A1620" s="128"/>
      <c r="B1620" s="128"/>
      <c r="C1620" s="128"/>
    </row>
    <row r="1621">
      <c r="A1621" s="128"/>
      <c r="B1621" s="128"/>
      <c r="C1621" s="128"/>
    </row>
    <row r="1622">
      <c r="A1622" s="128"/>
      <c r="B1622" s="128"/>
      <c r="C1622" s="128"/>
    </row>
    <row r="1623">
      <c r="A1623" s="128"/>
      <c r="B1623" s="128"/>
      <c r="C1623" s="128"/>
    </row>
    <row r="1624">
      <c r="A1624" s="128"/>
      <c r="B1624" s="128"/>
      <c r="C1624" s="128"/>
    </row>
    <row r="1625">
      <c r="A1625" s="128"/>
      <c r="B1625" s="128"/>
      <c r="C1625" s="128"/>
    </row>
    <row r="1626">
      <c r="A1626" s="128"/>
      <c r="B1626" s="128"/>
      <c r="C1626" s="128"/>
    </row>
    <row r="1627">
      <c r="A1627" s="128"/>
      <c r="B1627" s="128"/>
      <c r="C1627" s="128"/>
    </row>
    <row r="1628">
      <c r="A1628" s="128"/>
      <c r="B1628" s="128"/>
      <c r="C1628" s="128"/>
    </row>
    <row r="1629">
      <c r="A1629" s="128"/>
      <c r="B1629" s="128"/>
      <c r="C1629" s="128"/>
    </row>
    <row r="1630">
      <c r="A1630" s="128"/>
      <c r="B1630" s="128"/>
      <c r="C1630" s="128"/>
    </row>
    <row r="1631">
      <c r="A1631" s="128"/>
      <c r="B1631" s="128"/>
      <c r="C1631" s="128"/>
    </row>
    <row r="1632">
      <c r="A1632" s="128"/>
      <c r="B1632" s="128"/>
      <c r="C1632" s="128"/>
    </row>
    <row r="1633">
      <c r="A1633" s="128"/>
      <c r="B1633" s="128"/>
      <c r="C1633" s="128"/>
    </row>
    <row r="1634">
      <c r="A1634" s="128"/>
      <c r="B1634" s="128"/>
      <c r="C1634" s="128"/>
    </row>
    <row r="1635">
      <c r="A1635" s="128"/>
      <c r="B1635" s="128"/>
      <c r="C1635" s="128"/>
    </row>
    <row r="1636">
      <c r="A1636" s="128"/>
      <c r="B1636" s="128"/>
      <c r="C1636" s="128"/>
    </row>
    <row r="1637">
      <c r="A1637" s="128"/>
      <c r="B1637" s="128"/>
      <c r="C1637" s="128"/>
    </row>
    <row r="1638">
      <c r="A1638" s="128"/>
      <c r="B1638" s="128"/>
      <c r="C1638" s="128"/>
    </row>
    <row r="1639">
      <c r="A1639" s="128"/>
      <c r="B1639" s="128"/>
      <c r="C1639" s="128"/>
    </row>
    <row r="1640">
      <c r="A1640" s="128"/>
      <c r="B1640" s="128"/>
      <c r="C1640" s="128"/>
    </row>
    <row r="1641">
      <c r="A1641" s="128"/>
      <c r="B1641" s="128"/>
      <c r="C1641" s="128"/>
    </row>
    <row r="1642">
      <c r="A1642" s="128"/>
      <c r="B1642" s="128"/>
      <c r="C1642" s="128"/>
    </row>
    <row r="1643">
      <c r="A1643" s="128"/>
      <c r="B1643" s="128"/>
      <c r="C1643" s="128"/>
    </row>
    <row r="1644">
      <c r="A1644" s="128"/>
      <c r="B1644" s="128"/>
      <c r="C1644" s="128"/>
    </row>
    <row r="1645">
      <c r="A1645" s="128"/>
      <c r="B1645" s="128"/>
      <c r="C1645" s="128"/>
    </row>
    <row r="1646">
      <c r="A1646" s="128"/>
      <c r="B1646" s="128"/>
      <c r="C1646" s="128"/>
    </row>
    <row r="1647">
      <c r="A1647" s="128"/>
      <c r="B1647" s="128"/>
      <c r="C1647" s="128"/>
    </row>
    <row r="1648">
      <c r="A1648" s="128"/>
      <c r="B1648" s="128"/>
      <c r="C1648" s="128"/>
    </row>
    <row r="1649">
      <c r="A1649" s="128"/>
      <c r="B1649" s="128"/>
      <c r="C1649" s="128"/>
    </row>
    <row r="1650">
      <c r="A1650" s="128"/>
      <c r="B1650" s="128"/>
      <c r="C1650" s="128"/>
    </row>
    <row r="1651">
      <c r="A1651" s="128"/>
      <c r="B1651" s="128"/>
      <c r="C1651" s="128"/>
    </row>
    <row r="1652">
      <c r="A1652" s="128"/>
      <c r="B1652" s="128"/>
      <c r="C1652" s="128"/>
    </row>
    <row r="1653">
      <c r="A1653" s="128"/>
      <c r="B1653" s="128"/>
      <c r="C1653" s="128"/>
    </row>
    <row r="1654">
      <c r="A1654" s="128"/>
      <c r="B1654" s="128"/>
      <c r="C1654" s="128"/>
    </row>
    <row r="1655">
      <c r="A1655" s="128"/>
      <c r="B1655" s="128"/>
      <c r="C1655" s="128"/>
    </row>
    <row r="1656">
      <c r="A1656" s="128"/>
      <c r="B1656" s="128"/>
      <c r="C1656" s="128"/>
    </row>
    <row r="1657">
      <c r="A1657" s="128"/>
      <c r="B1657" s="128"/>
      <c r="C1657" s="128"/>
    </row>
    <row r="1658">
      <c r="A1658" s="128"/>
      <c r="B1658" s="128"/>
      <c r="C1658" s="128"/>
    </row>
    <row r="1659">
      <c r="A1659" s="128"/>
      <c r="B1659" s="128"/>
      <c r="C1659" s="128"/>
    </row>
    <row r="1660">
      <c r="A1660" s="128"/>
      <c r="B1660" s="128"/>
      <c r="C1660" s="128"/>
    </row>
    <row r="1661">
      <c r="A1661" s="128"/>
      <c r="B1661" s="128"/>
      <c r="C1661" s="128"/>
    </row>
    <row r="1662">
      <c r="A1662" s="128"/>
      <c r="B1662" s="128"/>
      <c r="C1662" s="128"/>
    </row>
    <row r="1663">
      <c r="A1663" s="128"/>
      <c r="B1663" s="128"/>
      <c r="C1663" s="128"/>
    </row>
    <row r="1664">
      <c r="A1664" s="128"/>
      <c r="B1664" s="128"/>
      <c r="C1664" s="128"/>
    </row>
    <row r="1665">
      <c r="A1665" s="128"/>
      <c r="B1665" s="128"/>
      <c r="C1665" s="128"/>
    </row>
    <row r="1666">
      <c r="A1666" s="128"/>
      <c r="B1666" s="128"/>
      <c r="C1666" s="128"/>
    </row>
    <row r="1667">
      <c r="A1667" s="128"/>
      <c r="B1667" s="128"/>
      <c r="C1667" s="128"/>
    </row>
    <row r="1668">
      <c r="A1668" s="128"/>
      <c r="B1668" s="128"/>
      <c r="C1668" s="128"/>
    </row>
    <row r="1669">
      <c r="A1669" s="128"/>
      <c r="B1669" s="128"/>
      <c r="C1669" s="128"/>
    </row>
    <row r="1670">
      <c r="A1670" s="128"/>
      <c r="B1670" s="128"/>
      <c r="C1670" s="128"/>
    </row>
    <row r="1671">
      <c r="A1671" s="128"/>
      <c r="B1671" s="128"/>
      <c r="C1671" s="128"/>
    </row>
    <row r="1672">
      <c r="A1672" s="128"/>
      <c r="B1672" s="128"/>
      <c r="C1672" s="128"/>
    </row>
    <row r="1673">
      <c r="A1673" s="128"/>
      <c r="B1673" s="128"/>
      <c r="C1673" s="128"/>
    </row>
    <row r="1674">
      <c r="A1674" s="128"/>
      <c r="B1674" s="128"/>
      <c r="C1674" s="128"/>
    </row>
    <row r="1675">
      <c r="A1675" s="128"/>
      <c r="B1675" s="128"/>
      <c r="C1675" s="128"/>
    </row>
    <row r="1676">
      <c r="A1676" s="128"/>
      <c r="B1676" s="128"/>
      <c r="C1676" s="128"/>
    </row>
    <row r="1677">
      <c r="A1677" s="128"/>
      <c r="B1677" s="128"/>
      <c r="C1677" s="128"/>
    </row>
    <row r="1678">
      <c r="A1678" s="128"/>
      <c r="B1678" s="128"/>
      <c r="C1678" s="128"/>
    </row>
    <row r="1679">
      <c r="A1679" s="128"/>
      <c r="B1679" s="128"/>
      <c r="C1679" s="128"/>
    </row>
    <row r="1680">
      <c r="A1680" s="128"/>
      <c r="B1680" s="128"/>
      <c r="C1680" s="128"/>
    </row>
    <row r="1681">
      <c r="A1681" s="128"/>
      <c r="B1681" s="128"/>
      <c r="C1681" s="128"/>
    </row>
    <row r="1682">
      <c r="A1682" s="128"/>
      <c r="B1682" s="128"/>
      <c r="C1682" s="128"/>
    </row>
    <row r="1683">
      <c r="A1683" s="128"/>
      <c r="B1683" s="128"/>
      <c r="C1683" s="128"/>
    </row>
    <row r="1684">
      <c r="A1684" s="128"/>
      <c r="B1684" s="128"/>
      <c r="C1684" s="128"/>
    </row>
    <row r="1685">
      <c r="A1685" s="128"/>
      <c r="B1685" s="128"/>
      <c r="C1685" s="128"/>
    </row>
    <row r="1686">
      <c r="A1686" s="128"/>
      <c r="B1686" s="128"/>
      <c r="C1686" s="128"/>
    </row>
    <row r="1687">
      <c r="A1687" s="128"/>
      <c r="B1687" s="128"/>
      <c r="C1687" s="128"/>
    </row>
    <row r="1688">
      <c r="A1688" s="128"/>
      <c r="B1688" s="128"/>
      <c r="C1688" s="128"/>
    </row>
    <row r="1689">
      <c r="A1689" s="128"/>
      <c r="B1689" s="128"/>
      <c r="C1689" s="128"/>
    </row>
    <row r="1690">
      <c r="A1690" s="128"/>
      <c r="B1690" s="128"/>
      <c r="C1690" s="128"/>
    </row>
    <row r="1691">
      <c r="A1691" s="128"/>
      <c r="B1691" s="128"/>
      <c r="C1691" s="128"/>
    </row>
    <row r="1692">
      <c r="A1692" s="128"/>
      <c r="B1692" s="128"/>
      <c r="C1692" s="128"/>
    </row>
    <row r="1693">
      <c r="A1693" s="128"/>
      <c r="B1693" s="128"/>
      <c r="C1693" s="128"/>
    </row>
    <row r="1694">
      <c r="A1694" s="128"/>
      <c r="B1694" s="128"/>
      <c r="C1694" s="128"/>
    </row>
    <row r="1695">
      <c r="A1695" s="128"/>
      <c r="B1695" s="128"/>
      <c r="C1695" s="128"/>
    </row>
    <row r="1696">
      <c r="A1696" s="128"/>
      <c r="B1696" s="128"/>
      <c r="C1696" s="128"/>
    </row>
    <row r="1697">
      <c r="A1697" s="128"/>
      <c r="B1697" s="128"/>
      <c r="C1697" s="128"/>
    </row>
    <row r="1698">
      <c r="A1698" s="128"/>
      <c r="B1698" s="128"/>
      <c r="C1698" s="128"/>
    </row>
    <row r="1699">
      <c r="A1699" s="128"/>
      <c r="B1699" s="128"/>
      <c r="C1699" s="128"/>
    </row>
    <row r="1700">
      <c r="A1700" s="128"/>
      <c r="B1700" s="128"/>
      <c r="C1700" s="128"/>
    </row>
    <row r="1701">
      <c r="A1701" s="128"/>
      <c r="B1701" s="128"/>
      <c r="C1701" s="128"/>
    </row>
    <row r="1702">
      <c r="A1702" s="128"/>
      <c r="B1702" s="128"/>
      <c r="C1702" s="128"/>
    </row>
    <row r="1703">
      <c r="A1703" s="128"/>
      <c r="B1703" s="128"/>
      <c r="C1703" s="128"/>
    </row>
    <row r="1704">
      <c r="A1704" s="128"/>
      <c r="B1704" s="128"/>
      <c r="C1704" s="128"/>
    </row>
    <row r="1705">
      <c r="A1705" s="128"/>
      <c r="B1705" s="128"/>
      <c r="C1705" s="128"/>
    </row>
    <row r="1706">
      <c r="A1706" s="128"/>
      <c r="B1706" s="128"/>
      <c r="C1706" s="128"/>
    </row>
    <row r="1707">
      <c r="A1707" s="128"/>
      <c r="B1707" s="128"/>
      <c r="C1707" s="128"/>
    </row>
    <row r="1708">
      <c r="A1708" s="128"/>
      <c r="B1708" s="128"/>
      <c r="C1708" s="128"/>
    </row>
    <row r="1709">
      <c r="A1709" s="128"/>
      <c r="B1709" s="128"/>
      <c r="C1709" s="128"/>
    </row>
    <row r="1710">
      <c r="A1710" s="128"/>
      <c r="B1710" s="128"/>
      <c r="C1710" s="128"/>
    </row>
    <row r="1711">
      <c r="A1711" s="128"/>
      <c r="B1711" s="128"/>
      <c r="C1711" s="128"/>
    </row>
    <row r="1712">
      <c r="A1712" s="128"/>
      <c r="B1712" s="128"/>
      <c r="C1712" s="128"/>
    </row>
    <row r="1713">
      <c r="A1713" s="128"/>
      <c r="B1713" s="128"/>
      <c r="C1713" s="128"/>
    </row>
    <row r="1714">
      <c r="A1714" s="128"/>
      <c r="B1714" s="128"/>
      <c r="C1714" s="128"/>
    </row>
    <row r="1715">
      <c r="A1715" s="128"/>
      <c r="B1715" s="128"/>
      <c r="C1715" s="128"/>
    </row>
    <row r="1716">
      <c r="A1716" s="128"/>
      <c r="B1716" s="128"/>
      <c r="C1716" s="128"/>
    </row>
    <row r="1717">
      <c r="A1717" s="128"/>
      <c r="B1717" s="128"/>
      <c r="C1717" s="128"/>
    </row>
    <row r="1718">
      <c r="A1718" s="128"/>
      <c r="B1718" s="128"/>
      <c r="C1718" s="128"/>
    </row>
    <row r="1719">
      <c r="A1719" s="128"/>
      <c r="B1719" s="128"/>
      <c r="C1719" s="128"/>
    </row>
    <row r="1720">
      <c r="A1720" s="128"/>
      <c r="B1720" s="128"/>
      <c r="C1720" s="128"/>
    </row>
    <row r="1721">
      <c r="A1721" s="128"/>
      <c r="B1721" s="128"/>
      <c r="C1721" s="128"/>
    </row>
    <row r="1722">
      <c r="A1722" s="128"/>
      <c r="B1722" s="128"/>
      <c r="C1722" s="128"/>
    </row>
    <row r="1723">
      <c r="A1723" s="128"/>
      <c r="B1723" s="128"/>
      <c r="C1723" s="128"/>
    </row>
    <row r="1724">
      <c r="A1724" s="128"/>
      <c r="B1724" s="128"/>
      <c r="C1724" s="128"/>
    </row>
    <row r="1725">
      <c r="A1725" s="128"/>
      <c r="B1725" s="128"/>
      <c r="C1725" s="128"/>
    </row>
    <row r="1726">
      <c r="A1726" s="128"/>
      <c r="B1726" s="128"/>
      <c r="C1726" s="128"/>
    </row>
    <row r="1727">
      <c r="A1727" s="128"/>
      <c r="B1727" s="128"/>
      <c r="C1727" s="128"/>
    </row>
    <row r="1728">
      <c r="A1728" s="128"/>
      <c r="B1728" s="128"/>
      <c r="C1728" s="128"/>
    </row>
    <row r="1729">
      <c r="A1729" s="128"/>
      <c r="B1729" s="128"/>
      <c r="C1729" s="128"/>
    </row>
    <row r="1730">
      <c r="A1730" s="128"/>
      <c r="B1730" s="128"/>
      <c r="C1730" s="128"/>
    </row>
    <row r="1731">
      <c r="A1731" s="128"/>
      <c r="B1731" s="128"/>
      <c r="C1731" s="128"/>
    </row>
    <row r="1732">
      <c r="A1732" s="128"/>
      <c r="B1732" s="128"/>
      <c r="C1732" s="128"/>
    </row>
    <row r="1733">
      <c r="A1733" s="128"/>
      <c r="B1733" s="128"/>
      <c r="C1733" s="128"/>
    </row>
    <row r="1734">
      <c r="A1734" s="128"/>
      <c r="B1734" s="128"/>
      <c r="C1734" s="128"/>
    </row>
    <row r="1735">
      <c r="A1735" s="128"/>
      <c r="B1735" s="128"/>
      <c r="C1735" s="128"/>
    </row>
    <row r="1736">
      <c r="A1736" s="128"/>
      <c r="B1736" s="128"/>
      <c r="C1736" s="128"/>
    </row>
    <row r="1737">
      <c r="A1737" s="128"/>
      <c r="B1737" s="128"/>
      <c r="C1737" s="128"/>
    </row>
    <row r="1738">
      <c r="A1738" s="128"/>
      <c r="B1738" s="128"/>
      <c r="C1738" s="128"/>
    </row>
    <row r="1739">
      <c r="A1739" s="128"/>
      <c r="B1739" s="128"/>
      <c r="C1739" s="128"/>
    </row>
    <row r="1740">
      <c r="A1740" s="128"/>
      <c r="B1740" s="128"/>
      <c r="C1740" s="128"/>
    </row>
    <row r="1741">
      <c r="A1741" s="128"/>
      <c r="B1741" s="128"/>
      <c r="C1741" s="128"/>
    </row>
    <row r="1742">
      <c r="A1742" s="128"/>
      <c r="B1742" s="128"/>
      <c r="C1742" s="128"/>
    </row>
    <row r="1743">
      <c r="A1743" s="128"/>
      <c r="B1743" s="128"/>
      <c r="C1743" s="128"/>
    </row>
    <row r="1744">
      <c r="A1744" s="128"/>
      <c r="B1744" s="128"/>
      <c r="C1744" s="128"/>
    </row>
    <row r="1745">
      <c r="A1745" s="128"/>
      <c r="B1745" s="128"/>
      <c r="C1745" s="128"/>
    </row>
    <row r="1746">
      <c r="A1746" s="128"/>
      <c r="B1746" s="128"/>
      <c r="C1746" s="128"/>
    </row>
    <row r="1747">
      <c r="A1747" s="128"/>
      <c r="B1747" s="128"/>
      <c r="C1747" s="128"/>
    </row>
    <row r="1748">
      <c r="A1748" s="128"/>
      <c r="B1748" s="128"/>
      <c r="C1748" s="128"/>
    </row>
    <row r="1749">
      <c r="A1749" s="128"/>
      <c r="B1749" s="128"/>
      <c r="C1749" s="128"/>
    </row>
    <row r="1750">
      <c r="A1750" s="128"/>
      <c r="B1750" s="128"/>
      <c r="C1750" s="128"/>
    </row>
    <row r="1751">
      <c r="A1751" s="128"/>
      <c r="B1751" s="128"/>
      <c r="C1751" s="128"/>
    </row>
    <row r="1752">
      <c r="A1752" s="128"/>
      <c r="B1752" s="128"/>
      <c r="C1752" s="128"/>
    </row>
    <row r="1753">
      <c r="A1753" s="128"/>
      <c r="B1753" s="128"/>
      <c r="C1753" s="128"/>
    </row>
    <row r="1754">
      <c r="A1754" s="128"/>
      <c r="B1754" s="128"/>
      <c r="C1754" s="128"/>
    </row>
    <row r="1755">
      <c r="A1755" s="128"/>
      <c r="B1755" s="128"/>
      <c r="C1755" s="128"/>
    </row>
    <row r="1756">
      <c r="A1756" s="128"/>
      <c r="B1756" s="128"/>
      <c r="C1756" s="128"/>
    </row>
    <row r="1757">
      <c r="A1757" s="128"/>
      <c r="B1757" s="128"/>
      <c r="C1757" s="128"/>
    </row>
    <row r="1758">
      <c r="A1758" s="128"/>
      <c r="B1758" s="128"/>
      <c r="C1758" s="128"/>
    </row>
    <row r="1759">
      <c r="A1759" s="128"/>
      <c r="B1759" s="128"/>
      <c r="C1759" s="128"/>
    </row>
    <row r="1760">
      <c r="A1760" s="128"/>
      <c r="B1760" s="128"/>
      <c r="C1760" s="128"/>
    </row>
    <row r="1761">
      <c r="A1761" s="128"/>
      <c r="B1761" s="128"/>
      <c r="C1761" s="128"/>
    </row>
    <row r="1762">
      <c r="A1762" s="128"/>
      <c r="B1762" s="128"/>
      <c r="C1762" s="128"/>
    </row>
    <row r="1763">
      <c r="A1763" s="128"/>
      <c r="B1763" s="128"/>
      <c r="C1763" s="128"/>
    </row>
    <row r="1764">
      <c r="A1764" s="128"/>
      <c r="B1764" s="128"/>
      <c r="C1764" s="128"/>
    </row>
    <row r="1765">
      <c r="A1765" s="128"/>
      <c r="B1765" s="128"/>
      <c r="C1765" s="128"/>
    </row>
    <row r="1766">
      <c r="A1766" s="128"/>
      <c r="B1766" s="128"/>
      <c r="C1766" s="128"/>
    </row>
    <row r="1767">
      <c r="A1767" s="128"/>
      <c r="B1767" s="128"/>
      <c r="C1767" s="128"/>
    </row>
    <row r="1768">
      <c r="A1768" s="128"/>
      <c r="B1768" s="128"/>
      <c r="C1768" s="128"/>
    </row>
    <row r="1769">
      <c r="A1769" s="128"/>
      <c r="B1769" s="128"/>
      <c r="C1769" s="128"/>
    </row>
    <row r="1770">
      <c r="A1770" s="128"/>
      <c r="B1770" s="128"/>
      <c r="C1770" s="128"/>
    </row>
    <row r="1771">
      <c r="A1771" s="128"/>
      <c r="B1771" s="128"/>
      <c r="C1771" s="128"/>
    </row>
    <row r="1772">
      <c r="A1772" s="128"/>
      <c r="B1772" s="128"/>
      <c r="C1772" s="128"/>
    </row>
    <row r="1773">
      <c r="A1773" s="128"/>
      <c r="B1773" s="128"/>
      <c r="C1773" s="128"/>
    </row>
    <row r="1774">
      <c r="A1774" s="128"/>
      <c r="B1774" s="128"/>
      <c r="C1774" s="128"/>
    </row>
    <row r="1775">
      <c r="A1775" s="128"/>
      <c r="B1775" s="128"/>
      <c r="C1775" s="128"/>
    </row>
    <row r="1776">
      <c r="A1776" s="128"/>
      <c r="B1776" s="128"/>
      <c r="C1776" s="128"/>
    </row>
    <row r="1777">
      <c r="A1777" s="128"/>
      <c r="B1777" s="128"/>
      <c r="C1777" s="128"/>
    </row>
    <row r="1778">
      <c r="A1778" s="128"/>
      <c r="B1778" s="128"/>
      <c r="C1778" s="128"/>
    </row>
    <row r="1779">
      <c r="A1779" s="128"/>
      <c r="B1779" s="128"/>
      <c r="C1779" s="128"/>
    </row>
    <row r="1780">
      <c r="A1780" s="128"/>
      <c r="B1780" s="128"/>
      <c r="C1780" s="128"/>
    </row>
    <row r="1781">
      <c r="A1781" s="128"/>
      <c r="B1781" s="128"/>
      <c r="C1781" s="128"/>
    </row>
    <row r="1782">
      <c r="A1782" s="128"/>
      <c r="B1782" s="128"/>
      <c r="C1782" s="128"/>
    </row>
    <row r="1783">
      <c r="A1783" s="128"/>
      <c r="B1783" s="128"/>
      <c r="C1783" s="128"/>
    </row>
    <row r="1784">
      <c r="A1784" s="128"/>
      <c r="B1784" s="128"/>
      <c r="C1784" s="128"/>
    </row>
    <row r="1785">
      <c r="A1785" s="128"/>
      <c r="B1785" s="128"/>
      <c r="C1785" s="128"/>
    </row>
    <row r="1786">
      <c r="A1786" s="128"/>
      <c r="B1786" s="128"/>
      <c r="C1786" s="128"/>
    </row>
    <row r="1787">
      <c r="A1787" s="128"/>
      <c r="B1787" s="128"/>
      <c r="C1787" s="128"/>
    </row>
    <row r="1788">
      <c r="A1788" s="128"/>
      <c r="B1788" s="128"/>
      <c r="C1788" s="128"/>
    </row>
    <row r="1789">
      <c r="A1789" s="128"/>
      <c r="B1789" s="128"/>
      <c r="C1789" s="128"/>
    </row>
    <row r="1790">
      <c r="A1790" s="128"/>
      <c r="B1790" s="128"/>
      <c r="C1790" s="128"/>
    </row>
    <row r="1791">
      <c r="A1791" s="128"/>
      <c r="B1791" s="128"/>
      <c r="C1791" s="128"/>
    </row>
    <row r="1792">
      <c r="A1792" s="128"/>
      <c r="B1792" s="128"/>
      <c r="C1792" s="128"/>
    </row>
    <row r="1793">
      <c r="A1793" s="128"/>
      <c r="B1793" s="128"/>
      <c r="C1793" s="128"/>
    </row>
    <row r="1794">
      <c r="A1794" s="128"/>
      <c r="B1794" s="128"/>
      <c r="C1794" s="128"/>
    </row>
    <row r="1795">
      <c r="A1795" s="128"/>
      <c r="B1795" s="128"/>
      <c r="C1795" s="128"/>
    </row>
    <row r="1796">
      <c r="A1796" s="128"/>
      <c r="B1796" s="128"/>
      <c r="C1796" s="128"/>
    </row>
    <row r="1797">
      <c r="A1797" s="128"/>
      <c r="B1797" s="128"/>
      <c r="C1797" s="128"/>
    </row>
    <row r="1798">
      <c r="A1798" s="128"/>
      <c r="B1798" s="128"/>
      <c r="C1798" s="128"/>
    </row>
    <row r="1799">
      <c r="A1799" s="128"/>
      <c r="B1799" s="128"/>
      <c r="C1799" s="128"/>
    </row>
    <row r="1800">
      <c r="A1800" s="128"/>
      <c r="B1800" s="128"/>
      <c r="C1800" s="128"/>
    </row>
    <row r="1801">
      <c r="A1801" s="128"/>
      <c r="B1801" s="128"/>
      <c r="C1801" s="128"/>
    </row>
    <row r="1802">
      <c r="A1802" s="128"/>
      <c r="B1802" s="128"/>
      <c r="C1802" s="128"/>
    </row>
    <row r="1803">
      <c r="A1803" s="128"/>
      <c r="B1803" s="128"/>
      <c r="C1803" s="128"/>
    </row>
    <row r="1804">
      <c r="A1804" s="128"/>
      <c r="B1804" s="128"/>
      <c r="C1804" s="128"/>
    </row>
    <row r="1805">
      <c r="A1805" s="128"/>
      <c r="B1805" s="128"/>
      <c r="C1805" s="128"/>
    </row>
    <row r="1806">
      <c r="A1806" s="128"/>
      <c r="B1806" s="128"/>
      <c r="C1806" s="128"/>
    </row>
    <row r="1807">
      <c r="A1807" s="128"/>
      <c r="B1807" s="128"/>
      <c r="C1807" s="128"/>
    </row>
    <row r="1808">
      <c r="A1808" s="128"/>
      <c r="B1808" s="128"/>
      <c r="C1808" s="128"/>
    </row>
    <row r="1809">
      <c r="A1809" s="128"/>
      <c r="B1809" s="128"/>
      <c r="C1809" s="128"/>
    </row>
    <row r="1810">
      <c r="A1810" s="128"/>
      <c r="B1810" s="128"/>
      <c r="C1810" s="128"/>
    </row>
    <row r="1811">
      <c r="A1811" s="128"/>
      <c r="B1811" s="128"/>
      <c r="C1811" s="128"/>
    </row>
    <row r="1812">
      <c r="A1812" s="128"/>
      <c r="B1812" s="128"/>
      <c r="C1812" s="128"/>
    </row>
    <row r="1813">
      <c r="A1813" s="128"/>
      <c r="B1813" s="128"/>
      <c r="C1813" s="128"/>
    </row>
    <row r="1814">
      <c r="A1814" s="128"/>
      <c r="B1814" s="128"/>
      <c r="C1814" s="128"/>
    </row>
    <row r="1815">
      <c r="A1815" s="128"/>
      <c r="B1815" s="128"/>
      <c r="C1815" s="128"/>
    </row>
    <row r="1816">
      <c r="A1816" s="128"/>
      <c r="B1816" s="128"/>
      <c r="C1816" s="128"/>
    </row>
    <row r="1817">
      <c r="A1817" s="128"/>
      <c r="B1817" s="128"/>
      <c r="C1817" s="128"/>
    </row>
    <row r="1818">
      <c r="A1818" s="128"/>
      <c r="B1818" s="128"/>
      <c r="C1818" s="128"/>
    </row>
    <row r="1819">
      <c r="A1819" s="128"/>
      <c r="B1819" s="128"/>
      <c r="C1819" s="128"/>
    </row>
    <row r="1820">
      <c r="A1820" s="128"/>
      <c r="B1820" s="128"/>
      <c r="C1820" s="128"/>
    </row>
    <row r="1821">
      <c r="A1821" s="128"/>
      <c r="B1821" s="128"/>
      <c r="C1821" s="128"/>
    </row>
    <row r="1822">
      <c r="A1822" s="128"/>
      <c r="B1822" s="128"/>
      <c r="C1822" s="128"/>
    </row>
    <row r="1823">
      <c r="A1823" s="128"/>
      <c r="B1823" s="128"/>
      <c r="C1823" s="128"/>
    </row>
    <row r="1824">
      <c r="A1824" s="128"/>
      <c r="B1824" s="128"/>
      <c r="C1824" s="128"/>
    </row>
    <row r="1825">
      <c r="A1825" s="128"/>
      <c r="B1825" s="128"/>
      <c r="C1825" s="128"/>
    </row>
    <row r="1826">
      <c r="A1826" s="128"/>
      <c r="B1826" s="128"/>
      <c r="C1826" s="128"/>
    </row>
    <row r="1827">
      <c r="A1827" s="128"/>
      <c r="B1827" s="128"/>
      <c r="C1827" s="128"/>
    </row>
    <row r="1828">
      <c r="A1828" s="128"/>
      <c r="B1828" s="128"/>
      <c r="C1828" s="128"/>
    </row>
    <row r="1829">
      <c r="A1829" s="128"/>
      <c r="B1829" s="128"/>
      <c r="C1829" s="128"/>
    </row>
    <row r="1830">
      <c r="A1830" s="128"/>
      <c r="B1830" s="128"/>
      <c r="C1830" s="128"/>
    </row>
    <row r="1831">
      <c r="A1831" s="128"/>
      <c r="B1831" s="128"/>
      <c r="C1831" s="128"/>
    </row>
    <row r="1832">
      <c r="A1832" s="128"/>
      <c r="B1832" s="128"/>
      <c r="C1832" s="128"/>
    </row>
    <row r="1833">
      <c r="A1833" s="128"/>
      <c r="B1833" s="128"/>
      <c r="C1833" s="128"/>
    </row>
    <row r="1834">
      <c r="A1834" s="128"/>
      <c r="B1834" s="128"/>
      <c r="C1834" s="128"/>
    </row>
    <row r="1835">
      <c r="A1835" s="128"/>
      <c r="B1835" s="128"/>
      <c r="C1835" s="128"/>
    </row>
    <row r="1836">
      <c r="A1836" s="128"/>
      <c r="B1836" s="128"/>
      <c r="C1836" s="128"/>
    </row>
    <row r="1837">
      <c r="A1837" s="128"/>
      <c r="B1837" s="128"/>
      <c r="C1837" s="128"/>
    </row>
    <row r="1838">
      <c r="A1838" s="128"/>
      <c r="B1838" s="128"/>
      <c r="C1838" s="128"/>
    </row>
    <row r="1839">
      <c r="A1839" s="128"/>
      <c r="B1839" s="128"/>
      <c r="C1839" s="128"/>
    </row>
    <row r="1840">
      <c r="A1840" s="128"/>
      <c r="B1840" s="128"/>
      <c r="C1840" s="128"/>
    </row>
    <row r="1841">
      <c r="A1841" s="128"/>
      <c r="B1841" s="128"/>
      <c r="C1841" s="128"/>
    </row>
    <row r="1842">
      <c r="A1842" s="128"/>
      <c r="B1842" s="128"/>
      <c r="C1842" s="128"/>
    </row>
    <row r="1843">
      <c r="A1843" s="128"/>
      <c r="B1843" s="128"/>
      <c r="C1843" s="128"/>
    </row>
    <row r="1844">
      <c r="A1844" s="128"/>
      <c r="B1844" s="128"/>
      <c r="C1844" s="128"/>
    </row>
    <row r="1845">
      <c r="A1845" s="128"/>
      <c r="B1845" s="128"/>
      <c r="C1845" s="128"/>
    </row>
    <row r="1846">
      <c r="A1846" s="128"/>
      <c r="B1846" s="128"/>
      <c r="C1846" s="128"/>
    </row>
    <row r="1847">
      <c r="A1847" s="128"/>
      <c r="B1847" s="128"/>
      <c r="C1847" s="128"/>
    </row>
    <row r="1848">
      <c r="A1848" s="128"/>
      <c r="B1848" s="128"/>
      <c r="C1848" s="128"/>
    </row>
    <row r="1849">
      <c r="A1849" s="128"/>
      <c r="B1849" s="128"/>
      <c r="C1849" s="128"/>
    </row>
    <row r="1850">
      <c r="A1850" s="128"/>
      <c r="B1850" s="128"/>
      <c r="C1850" s="128"/>
    </row>
    <row r="1851">
      <c r="A1851" s="128"/>
      <c r="B1851" s="128"/>
      <c r="C1851" s="128"/>
    </row>
    <row r="1852">
      <c r="A1852" s="128"/>
      <c r="B1852" s="128"/>
      <c r="C1852" s="128"/>
    </row>
    <row r="1853">
      <c r="A1853" s="128"/>
      <c r="B1853" s="128"/>
      <c r="C1853" s="128"/>
    </row>
    <row r="1854">
      <c r="A1854" s="128"/>
      <c r="B1854" s="128"/>
      <c r="C1854" s="128"/>
    </row>
    <row r="1855">
      <c r="A1855" s="128"/>
      <c r="B1855" s="128"/>
      <c r="C1855" s="128"/>
    </row>
    <row r="1856">
      <c r="A1856" s="128"/>
      <c r="B1856" s="128"/>
      <c r="C1856" s="128"/>
    </row>
    <row r="1857">
      <c r="A1857" s="128"/>
      <c r="B1857" s="128"/>
      <c r="C1857" s="128"/>
    </row>
    <row r="1858">
      <c r="A1858" s="128"/>
      <c r="B1858" s="128"/>
      <c r="C1858" s="128"/>
    </row>
    <row r="1859">
      <c r="A1859" s="128"/>
      <c r="B1859" s="128"/>
      <c r="C1859" s="128"/>
    </row>
    <row r="1860">
      <c r="A1860" s="128"/>
      <c r="B1860" s="128"/>
      <c r="C1860" s="128"/>
    </row>
    <row r="1861">
      <c r="A1861" s="128"/>
      <c r="B1861" s="128"/>
      <c r="C1861" s="128"/>
    </row>
    <row r="1862">
      <c r="A1862" s="128"/>
      <c r="B1862" s="128"/>
      <c r="C1862" s="128"/>
    </row>
    <row r="1863">
      <c r="A1863" s="128"/>
      <c r="B1863" s="128"/>
      <c r="C1863" s="128"/>
    </row>
    <row r="1864">
      <c r="A1864" s="128"/>
      <c r="B1864" s="128"/>
      <c r="C1864" s="128"/>
    </row>
    <row r="1865">
      <c r="A1865" s="128"/>
      <c r="B1865" s="128"/>
      <c r="C1865" s="128"/>
    </row>
    <row r="1866">
      <c r="A1866" s="128"/>
      <c r="B1866" s="128"/>
      <c r="C1866" s="128"/>
    </row>
    <row r="1867">
      <c r="A1867" s="128"/>
      <c r="B1867" s="128"/>
      <c r="C1867" s="128"/>
    </row>
    <row r="1868">
      <c r="A1868" s="128"/>
      <c r="B1868" s="128"/>
      <c r="C1868" s="128"/>
    </row>
    <row r="1869">
      <c r="A1869" s="128"/>
      <c r="B1869" s="128"/>
      <c r="C1869" s="128"/>
    </row>
    <row r="1870">
      <c r="A1870" s="128"/>
      <c r="B1870" s="128"/>
      <c r="C1870" s="128"/>
    </row>
    <row r="1871">
      <c r="A1871" s="128"/>
      <c r="B1871" s="128"/>
      <c r="C1871" s="128"/>
    </row>
    <row r="1872">
      <c r="A1872" s="128"/>
      <c r="B1872" s="128"/>
      <c r="C1872" s="128"/>
    </row>
    <row r="1873">
      <c r="A1873" s="128"/>
      <c r="B1873" s="128"/>
      <c r="C1873" s="128"/>
    </row>
    <row r="1874">
      <c r="A1874" s="128"/>
      <c r="B1874" s="128"/>
      <c r="C1874" s="128"/>
    </row>
    <row r="1875">
      <c r="A1875" s="128"/>
      <c r="B1875" s="128"/>
      <c r="C1875" s="128"/>
    </row>
    <row r="1876">
      <c r="A1876" s="128"/>
      <c r="B1876" s="128"/>
      <c r="C1876" s="128"/>
    </row>
    <row r="1877">
      <c r="A1877" s="128"/>
      <c r="B1877" s="128"/>
      <c r="C1877" s="128"/>
    </row>
    <row r="1878">
      <c r="A1878" s="128"/>
      <c r="B1878" s="128"/>
      <c r="C1878" s="128"/>
    </row>
    <row r="1879">
      <c r="A1879" s="128"/>
      <c r="B1879" s="128"/>
      <c r="C1879" s="128"/>
    </row>
    <row r="1880">
      <c r="A1880" s="128"/>
      <c r="B1880" s="128"/>
      <c r="C1880" s="128"/>
    </row>
    <row r="1881">
      <c r="A1881" s="128"/>
      <c r="B1881" s="128"/>
      <c r="C1881" s="128"/>
    </row>
    <row r="1882">
      <c r="A1882" s="128"/>
      <c r="B1882" s="128"/>
      <c r="C1882" s="128"/>
    </row>
    <row r="1883">
      <c r="A1883" s="128"/>
      <c r="B1883" s="128"/>
      <c r="C1883" s="128"/>
    </row>
    <row r="1884">
      <c r="A1884" s="128"/>
      <c r="B1884" s="128"/>
      <c r="C1884" s="128"/>
    </row>
    <row r="1885">
      <c r="A1885" s="128"/>
      <c r="B1885" s="128"/>
      <c r="C1885" s="128"/>
    </row>
    <row r="1886">
      <c r="A1886" s="128"/>
      <c r="B1886" s="128"/>
      <c r="C1886" s="128"/>
    </row>
    <row r="1887">
      <c r="A1887" s="128"/>
      <c r="B1887" s="128"/>
      <c r="C1887" s="128"/>
    </row>
    <row r="1888">
      <c r="A1888" s="128"/>
      <c r="B1888" s="128"/>
      <c r="C1888" s="128"/>
    </row>
    <row r="1889">
      <c r="A1889" s="128"/>
      <c r="B1889" s="128"/>
      <c r="C1889" s="128"/>
    </row>
    <row r="1890">
      <c r="A1890" s="128"/>
      <c r="B1890" s="128"/>
      <c r="C1890" s="128"/>
    </row>
    <row r="1891">
      <c r="A1891" s="128"/>
      <c r="B1891" s="128"/>
      <c r="C1891" s="128"/>
    </row>
    <row r="1892">
      <c r="A1892" s="128"/>
      <c r="B1892" s="128"/>
      <c r="C1892" s="128"/>
    </row>
    <row r="1893">
      <c r="A1893" s="128"/>
      <c r="B1893" s="128"/>
      <c r="C1893" s="128"/>
    </row>
    <row r="1894">
      <c r="A1894" s="128"/>
      <c r="B1894" s="128"/>
      <c r="C1894" s="128"/>
    </row>
    <row r="1895">
      <c r="A1895" s="128"/>
      <c r="B1895" s="128"/>
      <c r="C1895" s="128"/>
    </row>
    <row r="1896">
      <c r="A1896" s="128"/>
      <c r="B1896" s="128"/>
      <c r="C1896" s="128"/>
    </row>
    <row r="1897">
      <c r="A1897" s="128"/>
      <c r="B1897" s="128"/>
      <c r="C1897" s="128"/>
    </row>
    <row r="1898">
      <c r="A1898" s="128"/>
      <c r="B1898" s="128"/>
      <c r="C1898" s="128"/>
    </row>
    <row r="1899">
      <c r="A1899" s="128"/>
      <c r="B1899" s="128"/>
      <c r="C1899" s="128"/>
    </row>
    <row r="1900">
      <c r="A1900" s="128"/>
      <c r="B1900" s="128"/>
      <c r="C1900" s="128"/>
    </row>
    <row r="1901">
      <c r="A1901" s="128"/>
      <c r="B1901" s="128"/>
      <c r="C1901" s="128"/>
    </row>
    <row r="1902">
      <c r="A1902" s="128"/>
      <c r="B1902" s="128"/>
      <c r="C1902" s="128"/>
    </row>
    <row r="1903">
      <c r="A1903" s="128"/>
      <c r="B1903" s="128"/>
      <c r="C1903" s="128"/>
    </row>
    <row r="1904">
      <c r="A1904" s="128"/>
      <c r="B1904" s="128"/>
      <c r="C1904" s="128"/>
    </row>
    <row r="1905">
      <c r="A1905" s="128"/>
      <c r="B1905" s="128"/>
      <c r="C1905" s="128"/>
    </row>
    <row r="1906">
      <c r="A1906" s="128"/>
      <c r="B1906" s="128"/>
      <c r="C1906" s="128"/>
    </row>
    <row r="1907">
      <c r="A1907" s="128"/>
      <c r="B1907" s="128"/>
      <c r="C1907" s="128"/>
    </row>
    <row r="1908">
      <c r="A1908" s="128"/>
      <c r="B1908" s="128"/>
      <c r="C1908" s="128"/>
    </row>
    <row r="1909">
      <c r="A1909" s="128"/>
      <c r="B1909" s="128"/>
      <c r="C1909" s="128"/>
    </row>
    <row r="1910">
      <c r="A1910" s="128"/>
      <c r="B1910" s="128"/>
      <c r="C1910" s="128"/>
    </row>
    <row r="1911">
      <c r="A1911" s="128"/>
      <c r="B1911" s="128"/>
      <c r="C1911" s="128"/>
    </row>
    <row r="1912">
      <c r="A1912" s="128"/>
      <c r="B1912" s="128"/>
      <c r="C1912" s="128"/>
    </row>
    <row r="1913">
      <c r="A1913" s="128"/>
      <c r="B1913" s="128"/>
      <c r="C1913" s="128"/>
    </row>
    <row r="1914">
      <c r="A1914" s="128"/>
      <c r="B1914" s="128"/>
      <c r="C1914" s="128"/>
    </row>
    <row r="1915">
      <c r="A1915" s="128"/>
      <c r="B1915" s="128"/>
      <c r="C1915" s="128"/>
    </row>
    <row r="1916">
      <c r="A1916" s="128"/>
      <c r="B1916" s="128"/>
      <c r="C1916" s="128"/>
    </row>
    <row r="1917">
      <c r="A1917" s="128"/>
      <c r="B1917" s="128"/>
      <c r="C1917" s="128"/>
    </row>
    <row r="1918">
      <c r="A1918" s="128"/>
      <c r="B1918" s="128"/>
      <c r="C1918" s="128"/>
    </row>
    <row r="1919">
      <c r="A1919" s="128"/>
      <c r="B1919" s="128"/>
      <c r="C1919" s="128"/>
    </row>
    <row r="1920">
      <c r="A1920" s="128"/>
      <c r="B1920" s="128"/>
      <c r="C1920" s="128"/>
    </row>
    <row r="1921">
      <c r="A1921" s="128"/>
      <c r="B1921" s="128"/>
      <c r="C1921" s="128"/>
    </row>
    <row r="1922">
      <c r="A1922" s="128"/>
      <c r="B1922" s="128"/>
      <c r="C1922" s="128"/>
    </row>
    <row r="1923">
      <c r="A1923" s="128"/>
      <c r="B1923" s="128"/>
      <c r="C1923" s="128"/>
    </row>
    <row r="1924">
      <c r="A1924" s="128"/>
      <c r="B1924" s="128"/>
      <c r="C1924" s="128"/>
    </row>
    <row r="1925">
      <c r="A1925" s="128"/>
      <c r="B1925" s="128"/>
      <c r="C1925" s="128"/>
    </row>
    <row r="1926">
      <c r="A1926" s="128"/>
      <c r="B1926" s="128"/>
      <c r="C1926" s="128"/>
    </row>
    <row r="1927">
      <c r="A1927" s="128"/>
      <c r="B1927" s="128"/>
      <c r="C1927" s="128"/>
    </row>
    <row r="1928">
      <c r="A1928" s="128"/>
      <c r="B1928" s="128"/>
      <c r="C1928" s="128"/>
    </row>
    <row r="1929">
      <c r="A1929" s="128"/>
      <c r="B1929" s="128"/>
      <c r="C1929" s="128"/>
    </row>
    <row r="1930">
      <c r="A1930" s="128"/>
      <c r="B1930" s="128"/>
      <c r="C1930" s="128"/>
    </row>
    <row r="1931">
      <c r="A1931" s="128"/>
      <c r="B1931" s="128"/>
      <c r="C1931" s="128"/>
    </row>
    <row r="1932">
      <c r="A1932" s="128"/>
      <c r="B1932" s="128"/>
      <c r="C1932" s="128"/>
    </row>
    <row r="1933">
      <c r="A1933" s="128"/>
      <c r="B1933" s="128"/>
      <c r="C1933" s="128"/>
    </row>
    <row r="1934">
      <c r="A1934" s="128"/>
      <c r="B1934" s="128"/>
      <c r="C1934" s="128"/>
    </row>
    <row r="1935">
      <c r="A1935" s="128"/>
      <c r="B1935" s="128"/>
      <c r="C1935" s="128"/>
    </row>
    <row r="1936">
      <c r="A1936" s="128"/>
      <c r="B1936" s="128"/>
      <c r="C1936" s="128"/>
    </row>
    <row r="1937">
      <c r="A1937" s="128"/>
      <c r="B1937" s="128"/>
      <c r="C1937" s="128"/>
    </row>
    <row r="1938">
      <c r="A1938" s="128"/>
      <c r="B1938" s="128"/>
      <c r="C1938" s="128"/>
    </row>
    <row r="1939">
      <c r="A1939" s="128"/>
      <c r="B1939" s="128"/>
      <c r="C1939" s="128"/>
    </row>
    <row r="1940">
      <c r="A1940" s="128"/>
      <c r="B1940" s="128"/>
      <c r="C1940" s="128"/>
    </row>
    <row r="1941">
      <c r="A1941" s="128"/>
      <c r="B1941" s="128"/>
      <c r="C1941" s="128"/>
    </row>
    <row r="1942">
      <c r="A1942" s="128"/>
      <c r="B1942" s="128"/>
      <c r="C1942" s="128"/>
    </row>
    <row r="1943">
      <c r="A1943" s="128"/>
      <c r="B1943" s="128"/>
      <c r="C1943" s="128"/>
    </row>
    <row r="1944">
      <c r="A1944" s="128"/>
      <c r="B1944" s="128"/>
      <c r="C1944" s="128"/>
    </row>
    <row r="1945">
      <c r="A1945" s="128"/>
      <c r="B1945" s="128"/>
      <c r="C1945" s="128"/>
    </row>
    <row r="1946">
      <c r="A1946" s="128"/>
      <c r="B1946" s="128"/>
      <c r="C1946" s="128"/>
    </row>
    <row r="1947">
      <c r="A1947" s="128"/>
      <c r="B1947" s="128"/>
      <c r="C1947" s="128"/>
    </row>
    <row r="1948">
      <c r="A1948" s="128"/>
      <c r="B1948" s="128"/>
      <c r="C1948" s="128"/>
    </row>
    <row r="1949">
      <c r="A1949" s="128"/>
      <c r="B1949" s="128"/>
      <c r="C1949" s="128"/>
    </row>
    <row r="1950">
      <c r="A1950" s="128"/>
      <c r="B1950" s="128"/>
      <c r="C1950" s="128"/>
    </row>
    <row r="1951">
      <c r="A1951" s="128"/>
      <c r="B1951" s="128"/>
      <c r="C1951" s="128"/>
    </row>
    <row r="1952">
      <c r="A1952" s="128"/>
      <c r="B1952" s="128"/>
      <c r="C1952" s="128"/>
    </row>
    <row r="1953">
      <c r="A1953" s="128"/>
      <c r="B1953" s="128"/>
      <c r="C1953" s="128"/>
    </row>
    <row r="1954">
      <c r="A1954" s="128"/>
      <c r="B1954" s="128"/>
      <c r="C1954" s="128"/>
    </row>
    <row r="1955">
      <c r="A1955" s="128"/>
      <c r="B1955" s="128"/>
      <c r="C1955" s="128"/>
    </row>
    <row r="1956">
      <c r="A1956" s="128"/>
      <c r="B1956" s="128"/>
      <c r="C1956" s="128"/>
    </row>
    <row r="1957">
      <c r="A1957" s="128"/>
      <c r="B1957" s="128"/>
      <c r="C1957" s="128"/>
    </row>
    <row r="1958">
      <c r="A1958" s="128"/>
      <c r="B1958" s="128"/>
      <c r="C1958" s="128"/>
    </row>
    <row r="1959">
      <c r="A1959" s="128"/>
      <c r="B1959" s="128"/>
      <c r="C1959" s="128"/>
    </row>
    <row r="1960">
      <c r="A1960" s="128"/>
      <c r="B1960" s="128"/>
      <c r="C1960" s="128"/>
    </row>
    <row r="1961">
      <c r="A1961" s="128"/>
      <c r="B1961" s="128"/>
      <c r="C1961" s="128"/>
    </row>
    <row r="1962">
      <c r="A1962" s="128"/>
      <c r="B1962" s="128"/>
      <c r="C1962" s="128"/>
    </row>
    <row r="1963">
      <c r="A1963" s="128"/>
      <c r="B1963" s="128"/>
      <c r="C1963" s="128"/>
    </row>
    <row r="1964">
      <c r="A1964" s="128"/>
      <c r="B1964" s="128"/>
      <c r="C1964" s="128"/>
    </row>
    <row r="1965">
      <c r="A1965" s="128"/>
      <c r="B1965" s="128"/>
      <c r="C1965" s="128"/>
    </row>
    <row r="1966">
      <c r="A1966" s="128"/>
      <c r="B1966" s="128"/>
      <c r="C1966" s="128"/>
    </row>
    <row r="1967">
      <c r="A1967" s="128"/>
      <c r="B1967" s="128"/>
      <c r="C1967" s="128"/>
    </row>
    <row r="1968">
      <c r="A1968" s="128"/>
      <c r="B1968" s="128"/>
      <c r="C1968" s="128"/>
    </row>
    <row r="1969">
      <c r="A1969" s="128"/>
      <c r="B1969" s="128"/>
      <c r="C1969" s="128"/>
    </row>
    <row r="1970">
      <c r="A1970" s="128"/>
      <c r="B1970" s="128"/>
      <c r="C1970" s="128"/>
    </row>
    <row r="1971">
      <c r="A1971" s="128"/>
      <c r="B1971" s="128"/>
      <c r="C1971" s="128"/>
    </row>
    <row r="1972">
      <c r="A1972" s="128"/>
      <c r="B1972" s="128"/>
      <c r="C1972" s="128"/>
    </row>
    <row r="1973">
      <c r="A1973" s="128"/>
      <c r="B1973" s="128"/>
      <c r="C1973" s="128"/>
    </row>
    <row r="1974">
      <c r="A1974" s="128"/>
      <c r="B1974" s="128"/>
      <c r="C1974" s="128"/>
    </row>
    <row r="1975">
      <c r="A1975" s="128"/>
      <c r="B1975" s="128"/>
      <c r="C1975" s="128"/>
    </row>
    <row r="1976">
      <c r="A1976" s="128"/>
      <c r="B1976" s="128"/>
      <c r="C1976" s="128"/>
    </row>
    <row r="1977">
      <c r="A1977" s="128"/>
      <c r="B1977" s="128"/>
      <c r="C1977" s="128"/>
    </row>
    <row r="1978">
      <c r="A1978" s="128"/>
      <c r="B1978" s="128"/>
      <c r="C1978" s="128"/>
    </row>
    <row r="1979">
      <c r="A1979" s="128"/>
      <c r="B1979" s="128"/>
      <c r="C1979" s="128"/>
    </row>
    <row r="1980">
      <c r="A1980" s="128"/>
      <c r="B1980" s="128"/>
      <c r="C1980" s="128"/>
    </row>
    <row r="1981">
      <c r="A1981" s="128"/>
      <c r="B1981" s="128"/>
      <c r="C1981" s="128"/>
    </row>
    <row r="1982">
      <c r="A1982" s="128"/>
      <c r="B1982" s="128"/>
      <c r="C1982" s="128"/>
    </row>
    <row r="1983">
      <c r="A1983" s="128"/>
      <c r="B1983" s="128"/>
      <c r="C1983" s="128"/>
    </row>
    <row r="1984">
      <c r="A1984" s="128"/>
      <c r="B1984" s="128"/>
      <c r="C1984" s="128"/>
    </row>
    <row r="1985">
      <c r="A1985" s="128"/>
      <c r="B1985" s="128"/>
      <c r="C1985" s="128"/>
    </row>
    <row r="1986">
      <c r="A1986" s="128"/>
      <c r="B1986" s="128"/>
      <c r="C1986" s="128"/>
    </row>
    <row r="1987">
      <c r="A1987" s="128"/>
      <c r="B1987" s="128"/>
      <c r="C1987" s="128"/>
    </row>
    <row r="1988">
      <c r="A1988" s="128"/>
      <c r="B1988" s="128"/>
      <c r="C1988" s="128"/>
    </row>
    <row r="1989">
      <c r="A1989" s="128"/>
      <c r="B1989" s="128"/>
      <c r="C1989" s="128"/>
    </row>
    <row r="1990">
      <c r="A1990" s="128"/>
      <c r="B1990" s="128"/>
      <c r="C1990" s="128"/>
    </row>
    <row r="1991">
      <c r="A1991" s="128"/>
      <c r="B1991" s="128"/>
      <c r="C1991" s="128"/>
    </row>
    <row r="1992">
      <c r="A1992" s="128"/>
      <c r="B1992" s="128"/>
      <c r="C1992" s="128"/>
    </row>
    <row r="1993">
      <c r="A1993" s="128"/>
      <c r="B1993" s="128"/>
      <c r="C1993" s="128"/>
    </row>
    <row r="1994">
      <c r="A1994" s="128"/>
      <c r="B1994" s="128"/>
      <c r="C1994" s="128"/>
    </row>
    <row r="1995">
      <c r="A1995" s="128"/>
      <c r="B1995" s="128"/>
      <c r="C1995" s="128"/>
    </row>
    <row r="1996">
      <c r="A1996" s="128"/>
      <c r="B1996" s="128"/>
      <c r="C1996" s="128"/>
    </row>
    <row r="1997">
      <c r="A1997" s="128"/>
      <c r="B1997" s="128"/>
      <c r="C1997" s="128"/>
    </row>
    <row r="1998">
      <c r="A1998" s="128"/>
      <c r="B1998" s="128"/>
      <c r="C1998" s="128"/>
    </row>
    <row r="1999">
      <c r="A1999" s="128"/>
      <c r="B1999" s="128"/>
      <c r="C1999" s="128"/>
    </row>
    <row r="2000">
      <c r="A2000" s="128"/>
      <c r="B2000" s="128"/>
      <c r="C2000" s="128"/>
    </row>
  </sheetData>
  <customSheetViews>
    <customSheetView guid="{F6978B41-70FC-47A5-8945-0F2E9245193A}" filter="1" showAutoFilter="1">
      <autoFilter ref="$H$1:$J$1000">
        <filterColumn colId="0">
          <filters>
            <filter val="Sun Mar 29 2026 00:00:00 GMT-0300 (hora estándar de Argentina)"/>
            <filter val="2025-dic"/>
            <filter val="Sat Apr 04 2026 00:00:00 GMT-0300 (hora estándar de Argentina)"/>
            <filter val="2026-mar"/>
            <filter val="2026-ene"/>
            <filter val="Fri Apr 03 2026 00:00:00 GMT-0300 (hora estándar de Argentina)"/>
            <filter val="Mon Mar 30 2026 00:00:00 GMT-0300 (hora estándar de Argentina)"/>
            <filter val="2026-feb"/>
            <filter val="Wed Apr 01 2026 00:00:00 GMT-0300 (hora estándar de Argentina)"/>
          </filters>
        </filterColumn>
      </autoFilter>
    </customSheetView>
    <customSheetView guid="{F6978B41-70FC-47A5-8945-0F2E9245193A}" filter="1" showAutoFilter="1">
      <autoFilter ref="$H$1:$J$1000"/>
    </customSheetView>
  </customSheetViews>
  <drawing r:id="rId3"/>
  <tableParts count="1">
    <tablePart r:id="rId5"/>
  </tableParts>
  <extLst>
    <ext uri="{3A4CF648-6AED-40f4-86FF-DC5316D8AED3}">
      <x14:slicerList>
        <x14:slicer r:id="rId6"/>
      </x14:slicerList>
    </ext>
  </extLst>
</worksheet>
</file>